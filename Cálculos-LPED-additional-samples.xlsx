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/>
  <mc:AlternateContent xmlns:mc="http://schemas.openxmlformats.org/markup-compatibility/2006">
    <mc:Choice Requires="x15">
      <x15ac:absPath xmlns:x15ac="http://schemas.microsoft.com/office/spreadsheetml/2010/11/ac" url="D:\Trabalhos 2020\ML-LPED\Versão-2.9-padrao\"/>
    </mc:Choice>
  </mc:AlternateContent>
  <xr:revisionPtr revIDLastSave="0" documentId="13_ncr:1_{6D56C14C-D19B-435C-99C3-648A25F8BE22}" xr6:coauthVersionLast="47" xr6:coauthVersionMax="47" xr10:uidLastSave="{00000000-0000-0000-0000-000000000000}"/>
  <bookViews>
    <workbookView xWindow="-20" yWindow="160" windowWidth="11630" windowHeight="9830" tabRatio="706" xr2:uid="{00000000-000D-0000-FFFF-FFFF00000000}"/>
  </bookViews>
  <sheets>
    <sheet name="LPE - wB97XD (2)" sheetId="9" r:id="rId1"/>
    <sheet name="SME - wB97XD" sheetId="5" r:id="rId2"/>
    <sheet name="LPE - wB97XD" sheetId="8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9" l="1"/>
  <c r="L18" i="9" s="1"/>
  <c r="D18" i="9"/>
  <c r="G17" i="9"/>
  <c r="L17" i="9" s="1"/>
  <c r="D17" i="9"/>
  <c r="G16" i="9"/>
  <c r="L16" i="9" s="1"/>
  <c r="D16" i="9"/>
  <c r="D15" i="9"/>
  <c r="G15" i="9"/>
  <c r="G14" i="9"/>
  <c r="G13" i="9"/>
  <c r="K13" i="9" s="1"/>
  <c r="D14" i="9"/>
  <c r="D13" i="9"/>
  <c r="G12" i="9"/>
  <c r="D12" i="9"/>
  <c r="G11" i="9"/>
  <c r="D11" i="9"/>
  <c r="G10" i="9"/>
  <c r="D10" i="9"/>
  <c r="L10" i="9" s="1"/>
  <c r="G9" i="9"/>
  <c r="D9" i="9"/>
  <c r="G8" i="9"/>
  <c r="D8" i="9"/>
  <c r="L8" i="9" s="1"/>
  <c r="G7" i="9"/>
  <c r="D7" i="9"/>
  <c r="G6" i="9"/>
  <c r="D6" i="9"/>
  <c r="G5" i="9"/>
  <c r="D5" i="9"/>
  <c r="K17" i="8"/>
  <c r="L17" i="8"/>
  <c r="G17" i="8"/>
  <c r="D17" i="8"/>
  <c r="K16" i="8"/>
  <c r="L16" i="8"/>
  <c r="G16" i="8"/>
  <c r="D16" i="8"/>
  <c r="K15" i="8"/>
  <c r="L15" i="8"/>
  <c r="G15" i="8"/>
  <c r="D15" i="8"/>
  <c r="K14" i="8"/>
  <c r="L14" i="8"/>
  <c r="G14" i="8"/>
  <c r="K13" i="8"/>
  <c r="L13" i="8"/>
  <c r="G13" i="8"/>
  <c r="D14" i="8"/>
  <c r="D13" i="8"/>
  <c r="K12" i="8"/>
  <c r="L12" i="8"/>
  <c r="G12" i="8"/>
  <c r="K11" i="8"/>
  <c r="L11" i="8"/>
  <c r="G11" i="8"/>
  <c r="K10" i="8"/>
  <c r="L10" i="8"/>
  <c r="G10" i="8"/>
  <c r="D11" i="8"/>
  <c r="D12" i="8"/>
  <c r="D10" i="8"/>
  <c r="L9" i="8"/>
  <c r="K9" i="8"/>
  <c r="G9" i="8"/>
  <c r="D9" i="8"/>
  <c r="L8" i="8"/>
  <c r="K8" i="8"/>
  <c r="G8" i="8"/>
  <c r="L7" i="8"/>
  <c r="K7" i="8"/>
  <c r="G7" i="8"/>
  <c r="D7" i="8"/>
  <c r="L6" i="8"/>
  <c r="K6" i="8"/>
  <c r="G6" i="8"/>
  <c r="D6" i="8"/>
  <c r="D9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71" i="5"/>
  <c r="G5" i="8"/>
  <c r="D5" i="8"/>
  <c r="C63" i="5"/>
  <c r="E63" i="5"/>
  <c r="B63" i="5"/>
  <c r="D63" i="5"/>
  <c r="C62" i="5"/>
  <c r="E62" i="5"/>
  <c r="B62" i="5"/>
  <c r="D62" i="5"/>
  <c r="C61" i="5"/>
  <c r="E61" i="5"/>
  <c r="B49" i="5"/>
  <c r="D49" i="5"/>
  <c r="C49" i="5"/>
  <c r="E49" i="5"/>
  <c r="B50" i="5"/>
  <c r="D50" i="5"/>
  <c r="C50" i="5"/>
  <c r="E50" i="5"/>
  <c r="B51" i="5"/>
  <c r="D51" i="5"/>
  <c r="C51" i="5"/>
  <c r="E51" i="5"/>
  <c r="C52" i="5"/>
  <c r="E52" i="5"/>
  <c r="B53" i="5"/>
  <c r="D53" i="5"/>
  <c r="C53" i="5"/>
  <c r="E53" i="5"/>
  <c r="B54" i="5"/>
  <c r="D54" i="5"/>
  <c r="C54" i="5"/>
  <c r="E54" i="5"/>
  <c r="B55" i="5"/>
  <c r="D55" i="5"/>
  <c r="C55" i="5"/>
  <c r="E55" i="5"/>
  <c r="B56" i="5"/>
  <c r="D56" i="5"/>
  <c r="C56" i="5"/>
  <c r="E56" i="5"/>
  <c r="B57" i="5"/>
  <c r="C57" i="5"/>
  <c r="E57" i="5"/>
  <c r="D57" i="5"/>
  <c r="B58" i="5"/>
  <c r="D58" i="5"/>
  <c r="C58" i="5"/>
  <c r="E58" i="5"/>
  <c r="B59" i="5"/>
  <c r="C59" i="5"/>
  <c r="E59" i="5"/>
  <c r="D59" i="5"/>
  <c r="B60" i="5"/>
  <c r="C60" i="5"/>
  <c r="E60" i="5"/>
  <c r="D60" i="5"/>
  <c r="K16" i="9" l="1"/>
  <c r="K17" i="9"/>
  <c r="K18" i="9"/>
  <c r="L14" i="9"/>
  <c r="K15" i="9"/>
  <c r="K14" i="9"/>
  <c r="L13" i="9"/>
  <c r="L15" i="9"/>
  <c r="L7" i="9"/>
  <c r="L9" i="9"/>
  <c r="L11" i="9"/>
  <c r="L12" i="9"/>
  <c r="L5" i="9"/>
  <c r="K7" i="9"/>
  <c r="K8" i="9"/>
  <c r="K9" i="9"/>
  <c r="K10" i="9"/>
  <c r="K11" i="9"/>
  <c r="K12" i="9"/>
  <c r="L6" i="9"/>
  <c r="K5" i="9"/>
  <c r="K6" i="9"/>
  <c r="L5" i="8"/>
  <c r="K5" i="8"/>
</calcChain>
</file>

<file path=xl/sharedStrings.xml><?xml version="1.0" encoding="utf-8"?>
<sst xmlns="http://schemas.openxmlformats.org/spreadsheetml/2006/main" count="172" uniqueCount="98">
  <si>
    <t>Molecule</t>
  </si>
  <si>
    <t>helium-diatomic</t>
  </si>
  <si>
    <t>Ar-HCl</t>
  </si>
  <si>
    <t>chloromethane-dimer</t>
  </si>
  <si>
    <t>tetrafluoromethane-dimer</t>
  </si>
  <si>
    <t>Methylether-dimer</t>
  </si>
  <si>
    <t>ethyne-water</t>
  </si>
  <si>
    <t>propane-dimer</t>
  </si>
  <si>
    <t>formaldehyde-chlorine</t>
  </si>
  <si>
    <t>propene-hydrogenchloride</t>
  </si>
  <si>
    <t>ethyne-hydrogenfluoride</t>
  </si>
  <si>
    <t>chloromethane-NaCl</t>
  </si>
  <si>
    <t>benzene-NO+</t>
  </si>
  <si>
    <t>water</t>
  </si>
  <si>
    <t>wB97X-D/aug-cc-pVTZ</t>
  </si>
  <si>
    <t>Dimer/complex</t>
  </si>
  <si>
    <t>Enthalpy (hartree)</t>
  </si>
  <si>
    <t>Electronic energy(H)</t>
  </si>
  <si>
    <t>argonium</t>
  </si>
  <si>
    <t>hydrogen chloride</t>
  </si>
  <si>
    <t xml:space="preserve">helium </t>
  </si>
  <si>
    <t>chloromethane</t>
  </si>
  <si>
    <t>ethyne</t>
  </si>
  <si>
    <t>hydrogenfluoride</t>
  </si>
  <si>
    <t xml:space="preserve">propene </t>
  </si>
  <si>
    <t xml:space="preserve">propane </t>
  </si>
  <si>
    <t>formaldehyde</t>
  </si>
  <si>
    <t xml:space="preserve">fluorine </t>
  </si>
  <si>
    <t xml:space="preserve">tetrafluoromethane </t>
  </si>
  <si>
    <t xml:space="preserve">benzene </t>
  </si>
  <si>
    <t>chlorine</t>
  </si>
  <si>
    <t>trichloroaluminum</t>
  </si>
  <si>
    <t>Methyether</t>
  </si>
  <si>
    <t>Binding energy</t>
  </si>
  <si>
    <t>Delta H (Hartree)</t>
  </si>
  <si>
    <t>Delta E(H)</t>
  </si>
  <si>
    <t>Delta H (kcal/mol)</t>
  </si>
  <si>
    <t>Delta E (kcal mol-1)</t>
  </si>
  <si>
    <t>Zeff=Z+(-1)*QA-LI</t>
  </si>
  <si>
    <t>Potential energy: local energy. Formic acid has double potential energy</t>
  </si>
  <si>
    <t>q (1)/au</t>
  </si>
  <si>
    <t>LI (1)</t>
  </si>
  <si>
    <t>Zeff(1)</t>
  </si>
  <si>
    <t>q (2)/au</t>
  </si>
  <si>
    <t>LI (2)</t>
  </si>
  <si>
    <t>Zeff(2)</t>
  </si>
  <si>
    <t>rho bcp</t>
  </si>
  <si>
    <t>r (1-bcp) -bohr unit</t>
  </si>
  <si>
    <t>r (2-bcp) - bohr</t>
  </si>
  <si>
    <t>Local potential energy</t>
  </si>
  <si>
    <t>LPE</t>
  </si>
  <si>
    <t>benzene-dimer</t>
  </si>
  <si>
    <t>orthonitrophenol</t>
  </si>
  <si>
    <t>Magnesium-diazanide</t>
  </si>
  <si>
    <t>Magnesium-chloride</t>
  </si>
  <si>
    <t>sodium-azanide</t>
  </si>
  <si>
    <t>sodium-chloride</t>
  </si>
  <si>
    <r>
      <t>(</t>
    </r>
    <r>
      <rPr>
        <sz val="12"/>
        <color rgb="FF000000"/>
        <rFont val="Symbol"/>
        <family val="1"/>
        <charset val="2"/>
      </rPr>
      <t>w</t>
    </r>
    <r>
      <rPr>
        <sz val="12"/>
        <color rgb="FF000000"/>
        <rFont val="Times New Roman"/>
        <family val="1"/>
      </rPr>
      <t>B97XD)</t>
    </r>
    <r>
      <rPr>
        <vertAlign val="superscript"/>
        <sz val="12"/>
        <color rgb="FF000000"/>
        <rFont val="Times New Roman"/>
        <family val="1"/>
      </rPr>
      <t>a</t>
    </r>
    <r>
      <rPr>
        <sz val="12"/>
        <color rgb="FF000000"/>
        <rFont val="Times New Roman"/>
        <family val="1"/>
      </rPr>
      <t xml:space="preserve"> / </t>
    </r>
    <r>
      <rPr>
        <sz val="12"/>
        <color indexed="8"/>
        <rFont val="Times New Roman"/>
        <family val="1"/>
      </rPr>
      <t>kcal.mol</t>
    </r>
    <r>
      <rPr>
        <vertAlign val="superscript"/>
        <sz val="12"/>
        <color indexed="8"/>
        <rFont val="Times New Roman"/>
        <family val="1"/>
      </rPr>
      <t>-1</t>
    </r>
    <r>
      <rPr>
        <sz val="12"/>
        <color indexed="8"/>
        <rFont val="Times New Roman"/>
        <family val="1"/>
      </rPr>
      <t>.bohr</t>
    </r>
    <r>
      <rPr>
        <vertAlign val="superscript"/>
        <sz val="12"/>
        <color indexed="8"/>
        <rFont val="Times New Roman"/>
        <family val="1"/>
      </rPr>
      <t>-3</t>
    </r>
  </si>
  <si>
    <r>
      <t>SME (</t>
    </r>
    <r>
      <rPr>
        <sz val="12"/>
        <color rgb="FF000000"/>
        <rFont val="Symbol"/>
        <family val="1"/>
        <charset val="2"/>
      </rPr>
      <t>w</t>
    </r>
    <r>
      <rPr>
        <sz val="12"/>
        <color rgb="FF000000"/>
        <rFont val="Times New Roman"/>
        <family val="1"/>
      </rPr>
      <t>B97XD)</t>
    </r>
    <r>
      <rPr>
        <vertAlign val="superscript"/>
        <sz val="12"/>
        <color rgb="FF000000"/>
        <rFont val="Times New Roman"/>
        <family val="1"/>
      </rPr>
      <t>a</t>
    </r>
    <r>
      <rPr>
        <sz val="12"/>
        <color rgb="FF000000"/>
        <rFont val="Times New Roman"/>
        <family val="1"/>
      </rPr>
      <t xml:space="preserve"> / kcal.mol</t>
    </r>
    <r>
      <rPr>
        <vertAlign val="superscript"/>
        <sz val="12"/>
        <color rgb="FF000000"/>
        <rFont val="Times New Roman"/>
        <family val="1"/>
      </rPr>
      <t>-1</t>
    </r>
  </si>
  <si>
    <t>módulo</t>
  </si>
  <si>
    <t>diferença</t>
  </si>
  <si>
    <t>Interatomic distance</t>
  </si>
  <si>
    <t>Q1</t>
  </si>
  <si>
    <t>Q2</t>
  </si>
  <si>
    <t>benzene-ethyne (C--H) - 1</t>
  </si>
  <si>
    <t>Benzene-methylamine (C-H)  - 2</t>
  </si>
  <si>
    <t>Benzene-methylamine (pi-HN) - 2</t>
  </si>
  <si>
    <t>Ethene-pentane (H-H) - 4</t>
  </si>
  <si>
    <t>Ethene-pentane (H-H)  - 4</t>
  </si>
  <si>
    <t>Peptide-methanol (CH--O) - 5</t>
  </si>
  <si>
    <t>Pyridine-ethene (C-C)  - 6</t>
  </si>
  <si>
    <t>Pyridine-methylamine (N-HN)  - 7</t>
  </si>
  <si>
    <t>Pyridine-methylamine (N-HC)  - 7</t>
  </si>
  <si>
    <t>Peptide-methanol (NH--O)  - 5</t>
  </si>
  <si>
    <t>Interaction</t>
  </si>
  <si>
    <t>__</t>
  </si>
  <si>
    <t>Benzene-acetic acid (C-HO) - 3</t>
  </si>
  <si>
    <t>Benzene-acetic acid(C-HO) - 3</t>
  </si>
  <si>
    <t>LPED - actual</t>
  </si>
  <si>
    <t>LPED - predicted</t>
  </si>
  <si>
    <t>Complex</t>
  </si>
  <si>
    <t>Atomic charge A</t>
  </si>
  <si>
    <t>Atomic charge B</t>
  </si>
  <si>
    <t>Predicted_LPED</t>
  </si>
  <si>
    <t>Predicted_SME</t>
  </si>
  <si>
    <t>Benzene-acetic acid(C-HO) - 2</t>
  </si>
  <si>
    <t>Peptide-methanol (CH--O) - 3</t>
  </si>
  <si>
    <t>Peptide-methanol (NH--O)  - 3</t>
  </si>
  <si>
    <t>Pyridine-ethene (C-C)  - 4</t>
  </si>
  <si>
    <t>Pyridine-methylamine (N-HN)  - 5</t>
  </si>
  <si>
    <t>Pyridine-methylamine (N-HC)  - 5</t>
  </si>
  <si>
    <t>Benzene-acetic acid (C-HO) - 2</t>
  </si>
  <si>
    <t>Uracil-ethene</t>
  </si>
  <si>
    <t>Uracil-ethene (N1-C1)</t>
  </si>
  <si>
    <t>Uracil-ethene (N2-C2)</t>
  </si>
  <si>
    <t>Uracil-ethene (C3-C2)</t>
  </si>
  <si>
    <t xml:space="preserve">Ethene-pentane (H-H) </t>
  </si>
  <si>
    <t xml:space="preserve">Ethene-pentane (H-H)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</si>
</sst>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R$-416]\ #,##0.00;[Red]\-[$R$-416]\ #,##0.00"/>
    <numFmt numFmtId="165" formatCode="0.00_ "/>
    <numFmt numFmtId="166" formatCode="0.0000_ "/>
    <numFmt numFmtId="167" formatCode="0.0000"/>
    <numFmt numFmtId="168" formatCode="0.000_ "/>
    <numFmt numFmtId="169" formatCode="0.0000000_ "/>
    <numFmt numFmtId="170" formatCode="0.000E+00"/>
    <numFmt numFmtId="171" formatCode="0.000"/>
    <numFmt numFmtId="172" formatCode="#,##0.000"/>
  </numFmts>
  <fonts count="19" x14ac:knownFonts="1"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10"/>
      <name val="Arial"/>
      <family val="2"/>
    </font>
    <font>
      <sz val="11"/>
      <color indexed="10"/>
      <name val="Arial"/>
      <family val="2"/>
    </font>
    <font>
      <b/>
      <i/>
      <sz val="16"/>
      <color indexed="8"/>
      <name val="Arial"/>
      <family val="2"/>
    </font>
    <font>
      <b/>
      <i/>
      <u/>
      <sz val="11"/>
      <color indexed="8"/>
      <name val="Arial"/>
      <family val="2"/>
    </font>
    <font>
      <sz val="12"/>
      <color indexed="8"/>
      <name val="Times New Roman"/>
      <family val="1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b/>
      <sz val="16"/>
      <color rgb="FF000000"/>
      <name val="Arial"/>
      <family val="2"/>
    </font>
    <font>
      <sz val="12"/>
      <color rgb="FF000000"/>
      <name val="Times New Roman"/>
      <family val="1"/>
    </font>
    <font>
      <sz val="12"/>
      <color rgb="FF000000"/>
      <name val="Symbol"/>
      <family val="1"/>
      <charset val="2"/>
    </font>
    <font>
      <vertAlign val="superscript"/>
      <sz val="12"/>
      <color rgb="FF000000"/>
      <name val="Times New Roman"/>
      <family val="1"/>
    </font>
    <font>
      <vertAlign val="superscript"/>
      <sz val="12"/>
      <color indexed="8"/>
      <name val="Times New Roman"/>
      <family val="1"/>
    </font>
    <font>
      <b/>
      <sz val="11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theme="5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0" borderId="0">
      <alignment horizontal="center"/>
    </xf>
    <xf numFmtId="0" fontId="4" fillId="0" borderId="0">
      <alignment horizontal="center" textRotation="90"/>
    </xf>
    <xf numFmtId="0" fontId="5" fillId="0" borderId="0"/>
    <xf numFmtId="164" fontId="5" fillId="0" borderId="0"/>
  </cellStyleXfs>
  <cellXfs count="49">
    <xf numFmtId="0" fontId="0" fillId="0" borderId="0" xfId="0"/>
    <xf numFmtId="0" fontId="1" fillId="0" borderId="0" xfId="0" applyFon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1" fillId="0" borderId="0" xfId="0" applyNumberFormat="1" applyFont="1"/>
    <xf numFmtId="165" fontId="1" fillId="0" borderId="0" xfId="0" applyNumberFormat="1" applyFont="1"/>
    <xf numFmtId="167" fontId="0" fillId="0" borderId="0" xfId="0" applyNumberFormat="1"/>
    <xf numFmtId="0" fontId="2" fillId="0" borderId="0" xfId="0" applyFont="1"/>
    <xf numFmtId="0" fontId="7" fillId="0" borderId="0" xfId="0" applyFont="1"/>
    <xf numFmtId="2" fontId="7" fillId="0" borderId="0" xfId="0" applyNumberFormat="1" applyFont="1"/>
    <xf numFmtId="165" fontId="7" fillId="0" borderId="0" xfId="0" applyNumberFormat="1" applyFont="1"/>
    <xf numFmtId="165" fontId="3" fillId="0" borderId="0" xfId="0" applyNumberFormat="1" applyFont="1"/>
    <xf numFmtId="168" fontId="0" fillId="0" borderId="0" xfId="0" applyNumberFormat="1"/>
    <xf numFmtId="0" fontId="8" fillId="0" borderId="0" xfId="0" applyFont="1"/>
    <xf numFmtId="0" fontId="9" fillId="0" borderId="0" xfId="0" applyFont="1"/>
    <xf numFmtId="167" fontId="7" fillId="0" borderId="0" xfId="0" applyNumberFormat="1" applyFont="1"/>
    <xf numFmtId="165" fontId="9" fillId="0" borderId="0" xfId="0" applyNumberFormat="1" applyFont="1"/>
    <xf numFmtId="2" fontId="9" fillId="0" borderId="0" xfId="0" applyNumberFormat="1" applyFont="1"/>
    <xf numFmtId="0" fontId="10" fillId="0" borderId="0" xfId="0" applyFont="1"/>
    <xf numFmtId="169" fontId="0" fillId="0" borderId="0" xfId="0" applyNumberFormat="1"/>
    <xf numFmtId="0" fontId="11" fillId="0" borderId="1" xfId="0" applyFont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170" fontId="0" fillId="0" borderId="0" xfId="0" applyNumberFormat="1"/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5" fillId="0" borderId="0" xfId="0" applyFont="1"/>
    <xf numFmtId="0" fontId="11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11" fillId="0" borderId="0" xfId="0" applyFont="1" applyAlignment="1">
      <alignment horizontal="right" vertical="center" wrapText="1"/>
    </xf>
    <xf numFmtId="171" fontId="0" fillId="0" borderId="0" xfId="0" applyNumberFormat="1"/>
    <xf numFmtId="172" fontId="0" fillId="0" borderId="0" xfId="0" applyNumberFormat="1"/>
    <xf numFmtId="168" fontId="9" fillId="0" borderId="0" xfId="0" applyNumberFormat="1" applyFont="1"/>
    <xf numFmtId="171" fontId="9" fillId="0" borderId="0" xfId="0" applyNumberFormat="1" applyFont="1"/>
    <xf numFmtId="171" fontId="16" fillId="0" borderId="0" xfId="0" applyNumberFormat="1" applyFont="1"/>
    <xf numFmtId="2" fontId="16" fillId="0" borderId="0" xfId="0" applyNumberFormat="1" applyFont="1"/>
    <xf numFmtId="0" fontId="16" fillId="0" borderId="0" xfId="0" applyFont="1" applyAlignment="1">
      <alignment horizontal="left"/>
    </xf>
    <xf numFmtId="0" fontId="0" fillId="0" borderId="0" xfId="0" applyFont="1"/>
    <xf numFmtId="0" fontId="17" fillId="0" borderId="0" xfId="0" applyFont="1" applyAlignment="1">
      <alignment horizontal="left" vertical="center" wrapText="1"/>
    </xf>
    <xf numFmtId="171" fontId="7" fillId="0" borderId="0" xfId="0" applyNumberFormat="1" applyFont="1"/>
    <xf numFmtId="168" fontId="7" fillId="0" borderId="0" xfId="0" applyNumberFormat="1" applyFont="1"/>
    <xf numFmtId="0" fontId="7" fillId="0" borderId="0" xfId="0" applyFont="1" applyAlignment="1">
      <alignment horizontal="left" vertical="center" wrapText="1"/>
    </xf>
    <xf numFmtId="0" fontId="18" fillId="0" borderId="0" xfId="0" applyFont="1"/>
    <xf numFmtId="168" fontId="18" fillId="0" borderId="0" xfId="0" applyNumberFormat="1" applyFont="1"/>
    <xf numFmtId="2" fontId="18" fillId="0" borderId="0" xfId="0" applyNumberFormat="1" applyFont="1"/>
  </cellXfs>
  <cellStyles count="5">
    <cellStyle name="Heading 1" xfId="1" xr:uid="{00000000-0005-0000-0000-000000000000}"/>
    <cellStyle name="Heading1 1" xfId="2" xr:uid="{00000000-0005-0000-0000-000001000000}"/>
    <cellStyle name="Normal" xfId="0" builtinId="0"/>
    <cellStyle name="Result 1" xfId="3" xr:uid="{00000000-0005-0000-0000-000003000000}"/>
    <cellStyle name="Result2 1" xfId="4" xr:uid="{00000000-0005-0000-0000-00000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64A2"/>
      <rgbColor rgb="009999FF"/>
      <rgbColor rgb="00C0504D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F81BD"/>
      <rgbColor rgb="004BACC6"/>
      <rgbColor rgb="009BBB59"/>
      <rgbColor rgb="00FFCC00"/>
      <rgbColor rgb="00F79646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CFC5-3FB2-4276-BC59-091A4F011A78}">
  <dimension ref="A2:V132"/>
  <sheetViews>
    <sheetView tabSelected="1" topLeftCell="A19" zoomScale="70" zoomScaleNormal="70" zoomScaleSheetLayoutView="100" workbookViewId="0">
      <selection activeCell="A41" sqref="A41"/>
    </sheetView>
  </sheetViews>
  <sheetFormatPr defaultRowHeight="14" x14ac:dyDescent="0.3"/>
  <cols>
    <col min="1" max="1" width="33.83203125" customWidth="1"/>
    <col min="2" max="2" width="23.33203125" customWidth="1"/>
    <col min="3" max="3" width="15.83203125" customWidth="1"/>
    <col min="4" max="4" width="17.83203125" customWidth="1"/>
    <col min="5" max="5" width="12.6640625" customWidth="1"/>
    <col min="6" max="6" width="12.58203125" customWidth="1"/>
    <col min="7" max="7" width="22.6640625" customWidth="1"/>
    <col min="8" max="8" width="11" customWidth="1"/>
    <col min="9" max="9" width="17" customWidth="1"/>
    <col min="10" max="10" width="11.9140625" customWidth="1"/>
    <col min="11" max="11" width="13.83203125" customWidth="1"/>
    <col min="12" max="12" width="23.6640625" customWidth="1"/>
    <col min="13" max="13" width="19" customWidth="1"/>
    <col min="14" max="14" width="12.58203125" customWidth="1"/>
    <col min="15" max="15" width="15.4140625" customWidth="1"/>
  </cols>
  <sheetData>
    <row r="2" spans="1:22" x14ac:dyDescent="0.3">
      <c r="A2" t="s">
        <v>38</v>
      </c>
      <c r="C2" s="8" t="s">
        <v>39</v>
      </c>
    </row>
    <row r="4" spans="1:22" x14ac:dyDescent="0.3">
      <c r="A4" s="1" t="s">
        <v>0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49</v>
      </c>
    </row>
    <row r="5" spans="1:22" x14ac:dyDescent="0.3">
      <c r="A5" s="41" t="s">
        <v>1</v>
      </c>
      <c r="B5">
        <v>-5.9999999999999995E-4</v>
      </c>
      <c r="C5">
        <v>1.9997</v>
      </c>
      <c r="D5">
        <f>2+((-1)*B5)-C5</f>
        <v>8.9999999999990088E-4</v>
      </c>
      <c r="E5">
        <v>-5.9999999999999995E-4</v>
      </c>
      <c r="F5">
        <v>1.9997</v>
      </c>
      <c r="G5">
        <f>2+((-1)*E5)-F5</f>
        <v>8.9999999999990088E-4</v>
      </c>
      <c r="H5">
        <v>-5.0000000000000001E-4</v>
      </c>
      <c r="I5">
        <v>3.0697000000000001</v>
      </c>
      <c r="J5">
        <v>3.0697000000000001</v>
      </c>
      <c r="K5" s="20">
        <f t="shared" ref="K5:K18" si="0">((((D5*H5)/I5)+((G5*H5)/J5))*0.5)</f>
        <v>-1.4659412971950042E-7</v>
      </c>
      <c r="L5" s="3">
        <f t="shared" ref="L5:L18" si="1">((((D5*H5)/I5)+((G5*H5)/J5))*0.5)*627.51</f>
        <v>-9.1989282340283711E-5</v>
      </c>
    </row>
    <row r="6" spans="1:22" x14ac:dyDescent="0.3">
      <c r="A6" s="41" t="s">
        <v>64</v>
      </c>
      <c r="B6">
        <v>-2.5999999999999999E-2</v>
      </c>
      <c r="C6">
        <v>3.9620000000000002</v>
      </c>
      <c r="D6">
        <f>6+((-1)*B6)-C6</f>
        <v>2.0639999999999996</v>
      </c>
      <c r="E6">
        <v>0.155</v>
      </c>
      <c r="F6">
        <v>0.29899999999999999</v>
      </c>
      <c r="G6">
        <f t="shared" ref="G6:G9" si="2">1+((-1)*E6)-F6</f>
        <v>0.54600000000000004</v>
      </c>
      <c r="H6">
        <v>-5.8999999999999999E-3</v>
      </c>
      <c r="I6">
        <v>3.3319999999999999</v>
      </c>
      <c r="J6" s="13">
        <v>2.0659999999999998</v>
      </c>
      <c r="K6" s="4">
        <f t="shared" si="0"/>
        <v>-2.6069934072370476E-3</v>
      </c>
      <c r="L6" s="3">
        <f t="shared" si="1"/>
        <v>-1.6359144329753197</v>
      </c>
      <c r="V6" s="1"/>
    </row>
    <row r="7" spans="1:22" x14ac:dyDescent="0.3">
      <c r="A7" s="41" t="s">
        <v>85</v>
      </c>
      <c r="B7">
        <v>-2E-3</v>
      </c>
      <c r="C7">
        <v>3.9340000000000002</v>
      </c>
      <c r="D7">
        <f t="shared" ref="D7" si="3">6+((-1)*B7)-C7</f>
        <v>2.0679999999999996</v>
      </c>
      <c r="E7">
        <v>0.59899999999999998</v>
      </c>
      <c r="F7">
        <v>6.3E-2</v>
      </c>
      <c r="G7">
        <f t="shared" si="2"/>
        <v>0.33800000000000002</v>
      </c>
      <c r="H7">
        <v>-1.0999999999999999E-2</v>
      </c>
      <c r="I7">
        <v>3.0030000000000001</v>
      </c>
      <c r="J7" s="13">
        <v>1.698</v>
      </c>
      <c r="K7" s="4">
        <f t="shared" si="0"/>
        <v>-4.8823632198190491E-3</v>
      </c>
      <c r="L7" s="3">
        <f t="shared" si="1"/>
        <v>-3.0637317440686513</v>
      </c>
      <c r="N7" s="2"/>
      <c r="V7" s="1"/>
    </row>
    <row r="8" spans="1:22" x14ac:dyDescent="0.3">
      <c r="A8" s="41" t="s">
        <v>86</v>
      </c>
      <c r="B8">
        <v>-1.075</v>
      </c>
      <c r="C8">
        <v>8.0860000000000003</v>
      </c>
      <c r="D8">
        <f>8+((-1)*B8)-C8</f>
        <v>0.98899999999999899</v>
      </c>
      <c r="E8" s="34">
        <v>1.1999999999999999E-3</v>
      </c>
      <c r="F8">
        <v>0.435</v>
      </c>
      <c r="G8" s="34">
        <f t="shared" si="2"/>
        <v>0.56380000000000008</v>
      </c>
      <c r="H8">
        <v>-5.7999999999999996E-3</v>
      </c>
      <c r="I8" s="34">
        <v>3.09</v>
      </c>
      <c r="J8" s="13">
        <v>2.2370000000000001</v>
      </c>
      <c r="K8" s="4">
        <f t="shared" si="0"/>
        <v>-1.6590862270753845E-3</v>
      </c>
      <c r="L8" s="3">
        <f t="shared" si="1"/>
        <v>-1.0410931983520746</v>
      </c>
      <c r="N8" s="2"/>
      <c r="V8" s="1"/>
    </row>
    <row r="9" spans="1:22" x14ac:dyDescent="0.3">
      <c r="A9" s="41" t="s">
        <v>87</v>
      </c>
      <c r="B9">
        <v>-1.075</v>
      </c>
      <c r="C9">
        <v>8.0860000000000003</v>
      </c>
      <c r="D9">
        <f>8+((-1)*B9)-C9</f>
        <v>0.98899999999999899</v>
      </c>
      <c r="E9">
        <v>0.43099999999999999</v>
      </c>
      <c r="F9">
        <v>0.13200000000000001</v>
      </c>
      <c r="G9">
        <f t="shared" si="2"/>
        <v>0.43699999999999994</v>
      </c>
      <c r="H9">
        <v>-2.1700000000000001E-2</v>
      </c>
      <c r="I9">
        <v>2.3849999999999998</v>
      </c>
      <c r="J9" s="13">
        <v>1.421</v>
      </c>
      <c r="K9" s="4">
        <f t="shared" si="0"/>
        <v>-7.8359238260474386E-3</v>
      </c>
      <c r="L9" s="3">
        <f t="shared" si="1"/>
        <v>-4.9171205600830286</v>
      </c>
      <c r="N9" s="2"/>
      <c r="V9" s="1"/>
    </row>
    <row r="10" spans="1:22" x14ac:dyDescent="0.3">
      <c r="A10" s="41" t="s">
        <v>88</v>
      </c>
      <c r="B10">
        <v>-2.4E-2</v>
      </c>
      <c r="C10">
        <v>4.0179999999999998</v>
      </c>
      <c r="D10">
        <f>6+((-1)*B10)-C10</f>
        <v>2.0060000000000002</v>
      </c>
      <c r="E10">
        <v>0.47699999999999998</v>
      </c>
      <c r="F10">
        <v>3.552</v>
      </c>
      <c r="G10">
        <f>6+((-1)*E10)-F10</f>
        <v>1.9709999999999996</v>
      </c>
      <c r="H10">
        <v>-4.7999999999999996E-3</v>
      </c>
      <c r="I10">
        <v>3.3109999999999999</v>
      </c>
      <c r="J10" s="13">
        <v>3.5579999999999998</v>
      </c>
      <c r="K10" s="4">
        <f t="shared" si="0"/>
        <v>-2.7835731780670794E-3</v>
      </c>
      <c r="L10" s="3">
        <f t="shared" si="1"/>
        <v>-1.7467200049688729</v>
      </c>
      <c r="N10" s="2"/>
      <c r="V10" s="1"/>
    </row>
    <row r="11" spans="1:22" x14ac:dyDescent="0.3">
      <c r="A11" s="41" t="s">
        <v>89</v>
      </c>
      <c r="B11">
        <v>-1.0049999999999999</v>
      </c>
      <c r="C11">
        <v>6.3739999999999997</v>
      </c>
      <c r="D11">
        <f>7+((-1)*B11)-C11</f>
        <v>1.6309999999999993</v>
      </c>
      <c r="E11">
        <v>0.34699999999999998</v>
      </c>
      <c r="F11">
        <v>0.17599999999999999</v>
      </c>
      <c r="G11">
        <f>1+((-1)*E11)-F11</f>
        <v>0.47700000000000004</v>
      </c>
      <c r="H11">
        <v>-1.2699999999999999E-2</v>
      </c>
      <c r="I11">
        <v>2.7349999999999999</v>
      </c>
      <c r="J11" s="13">
        <v>1.754</v>
      </c>
      <c r="K11" s="4">
        <f t="shared" si="0"/>
        <v>-5.5136638636368359E-3</v>
      </c>
      <c r="L11" s="3">
        <f t="shared" si="1"/>
        <v>-3.459879211070751</v>
      </c>
      <c r="N11" s="2"/>
      <c r="V11" s="1"/>
    </row>
    <row r="12" spans="1:22" ht="15.5" x14ac:dyDescent="0.3">
      <c r="A12" s="42" t="s">
        <v>90</v>
      </c>
      <c r="B12">
        <v>-1.0049999999999999</v>
      </c>
      <c r="C12">
        <v>6.3739999999999997</v>
      </c>
      <c r="D12">
        <f>7+((-1)*B12)-C12</f>
        <v>1.6309999999999993</v>
      </c>
      <c r="E12">
        <v>-5.0000000000000001E-3</v>
      </c>
      <c r="F12" s="34">
        <v>0.441</v>
      </c>
      <c r="G12">
        <f>1+((-1)*E12)-F12</f>
        <v>0.56399999999999983</v>
      </c>
      <c r="H12" s="33">
        <v>-5.4999999999999997E-3</v>
      </c>
      <c r="I12" s="34">
        <v>4.1619999999999999</v>
      </c>
      <c r="J12" s="13">
        <v>2.468</v>
      </c>
      <c r="K12" s="4">
        <f t="shared" si="0"/>
        <v>-1.7061110713042361E-3</v>
      </c>
      <c r="L12" s="3">
        <f t="shared" si="1"/>
        <v>-1.0706017583541212</v>
      </c>
      <c r="N12" s="2"/>
      <c r="V12" s="1"/>
    </row>
    <row r="13" spans="1:22" ht="15.5" x14ac:dyDescent="0.3">
      <c r="A13" s="42" t="s">
        <v>93</v>
      </c>
      <c r="B13" s="33">
        <v>-1.0449999999999999</v>
      </c>
      <c r="C13" s="33">
        <v>6.2990000000000004</v>
      </c>
      <c r="D13">
        <f>7+((-1)*B13)-C13</f>
        <v>1.7459999999999996</v>
      </c>
      <c r="E13">
        <v>-7.0000000000000001E-3</v>
      </c>
      <c r="F13">
        <v>4.0049999999999999</v>
      </c>
      <c r="G13">
        <f>6+((-1)*E13)-F13</f>
        <v>2.0019999999999998</v>
      </c>
      <c r="H13" s="7">
        <v>-5.3E-3</v>
      </c>
      <c r="I13" s="34">
        <v>3.3919999999999999</v>
      </c>
      <c r="J13" s="13">
        <v>3.3380000000000001</v>
      </c>
      <c r="K13" s="4">
        <f t="shared" si="0"/>
        <v>-2.9534273891551823E-3</v>
      </c>
      <c r="L13" s="3">
        <f t="shared" si="1"/>
        <v>-1.8533052209687684</v>
      </c>
      <c r="N13" s="2"/>
      <c r="V13" s="1"/>
    </row>
    <row r="14" spans="1:22" ht="15.5" x14ac:dyDescent="0.3">
      <c r="A14" s="42" t="s">
        <v>94</v>
      </c>
      <c r="B14" s="33">
        <v>-1.026</v>
      </c>
      <c r="C14" s="33">
        <v>6.2930000000000001</v>
      </c>
      <c r="D14">
        <f>7+((-1)*B14)-C14</f>
        <v>1.7329999999999997</v>
      </c>
      <c r="E14">
        <v>1E-3</v>
      </c>
      <c r="F14">
        <v>3.996</v>
      </c>
      <c r="G14">
        <f>6+((-1)*E14)-F14</f>
        <v>2.0029999999999997</v>
      </c>
      <c r="H14" s="7">
        <v>-5.0000000000000001E-3</v>
      </c>
      <c r="I14">
        <v>3.4550000000000001</v>
      </c>
      <c r="J14" s="13">
        <v>3.726</v>
      </c>
      <c r="K14" s="4">
        <f t="shared" si="0"/>
        <v>-2.5979142537323283E-3</v>
      </c>
      <c r="L14" s="3">
        <f t="shared" si="1"/>
        <v>-1.6302171733595734</v>
      </c>
      <c r="N14" s="2"/>
      <c r="V14" s="1"/>
    </row>
    <row r="15" spans="1:22" x14ac:dyDescent="0.3">
      <c r="A15" s="40" t="s">
        <v>95</v>
      </c>
      <c r="B15" s="38">
        <v>0</v>
      </c>
      <c r="C15" s="38">
        <v>3.9660000000000002</v>
      </c>
      <c r="D15" s="38">
        <f>6+((-1)*B15)-C15</f>
        <v>2.0339999999999998</v>
      </c>
      <c r="E15">
        <v>1E-3</v>
      </c>
      <c r="F15">
        <v>3.996</v>
      </c>
      <c r="G15">
        <f>6+((-1)*E15)-F15</f>
        <v>2.0029999999999997</v>
      </c>
      <c r="H15">
        <v>-4.5999999999999999E-3</v>
      </c>
      <c r="I15">
        <v>3.4710000000000001</v>
      </c>
      <c r="J15" s="13">
        <v>3.3149999999999999</v>
      </c>
      <c r="K15" s="4">
        <f t="shared" si="0"/>
        <v>-2.7375094480315892E-3</v>
      </c>
      <c r="L15" s="3">
        <f t="shared" si="1"/>
        <v>-1.7178145537343026</v>
      </c>
      <c r="V15" s="1"/>
    </row>
    <row r="16" spans="1:22" x14ac:dyDescent="0.3">
      <c r="A16" t="s">
        <v>96</v>
      </c>
      <c r="B16">
        <v>1.7000000000000001E-2</v>
      </c>
      <c r="C16">
        <v>0.42</v>
      </c>
      <c r="D16">
        <f>1+((-1)*B16)-C16</f>
        <v>0.56299999999999994</v>
      </c>
      <c r="E16">
        <v>-2.3E-2</v>
      </c>
      <c r="F16">
        <v>0.45800000000000002</v>
      </c>
      <c r="G16">
        <f t="shared" ref="G16:G18" si="4">1+((-1)*E16)-F16</f>
        <v>0.56499999999999995</v>
      </c>
      <c r="H16">
        <v>-3.5999999999999999E-3</v>
      </c>
      <c r="I16">
        <v>2.3530000000000002</v>
      </c>
      <c r="J16" s="13">
        <v>2.617</v>
      </c>
      <c r="K16" s="4">
        <f t="shared" si="0"/>
        <v>-8.1929714844633647E-4</v>
      </c>
      <c r="L16" s="3">
        <f t="shared" si="1"/>
        <v>-0.51411715362156063</v>
      </c>
      <c r="V16" s="1"/>
    </row>
    <row r="17" spans="1:22" x14ac:dyDescent="0.3">
      <c r="A17" t="s">
        <v>96</v>
      </c>
      <c r="B17">
        <v>1.7000000000000001E-2</v>
      </c>
      <c r="C17">
        <v>0.42</v>
      </c>
      <c r="D17">
        <f t="shared" ref="D17:D18" si="5">1+((-1)*B17)-C17</f>
        <v>0.56299999999999994</v>
      </c>
      <c r="E17">
        <v>-2.3E-2</v>
      </c>
      <c r="F17">
        <v>0.45500000000000002</v>
      </c>
      <c r="G17">
        <f t="shared" si="4"/>
        <v>0.56799999999999984</v>
      </c>
      <c r="H17">
        <v>-4.4999999999999997E-3</v>
      </c>
      <c r="I17" s="35">
        <v>2.6589999999999998</v>
      </c>
      <c r="J17">
        <v>2.5590000000000002</v>
      </c>
      <c r="K17" s="4">
        <f t="shared" si="0"/>
        <v>-9.7581473612368239E-4</v>
      </c>
      <c r="L17" s="3">
        <f t="shared" si="1"/>
        <v>-0.61233350506497197</v>
      </c>
      <c r="V17" s="1"/>
    </row>
    <row r="18" spans="1:22" x14ac:dyDescent="0.3">
      <c r="A18" t="s">
        <v>97</v>
      </c>
      <c r="B18">
        <v>1.7000000000000001E-2</v>
      </c>
      <c r="C18">
        <v>0.42</v>
      </c>
      <c r="D18">
        <f t="shared" si="5"/>
        <v>0.56299999999999994</v>
      </c>
      <c r="E18">
        <v>-3.5999999999999997E-2</v>
      </c>
      <c r="F18">
        <v>0.46200000000000002</v>
      </c>
      <c r="G18">
        <f t="shared" si="4"/>
        <v>0.57400000000000007</v>
      </c>
      <c r="H18">
        <v>-4.5999999999999999E-3</v>
      </c>
      <c r="I18">
        <v>2.452</v>
      </c>
      <c r="J18" s="13">
        <v>2.4660000000000002</v>
      </c>
      <c r="K18" s="4">
        <f t="shared" si="0"/>
        <v>-1.0634604189571979E-3</v>
      </c>
      <c r="L18" s="3">
        <f t="shared" si="1"/>
        <v>-0.66733204749983122</v>
      </c>
      <c r="V18" s="1"/>
    </row>
    <row r="19" spans="1:22" x14ac:dyDescent="0.3">
      <c r="A19" s="31"/>
      <c r="B19" s="9"/>
      <c r="C19" s="10"/>
      <c r="D19" s="10"/>
      <c r="J19" s="4"/>
      <c r="K19" s="4"/>
      <c r="V19" s="1"/>
    </row>
    <row r="20" spans="1:22" x14ac:dyDescent="0.3">
      <c r="A20" s="31"/>
      <c r="B20" s="9"/>
      <c r="C20" s="10"/>
      <c r="D20" s="10"/>
      <c r="J20" s="4"/>
      <c r="K20" s="4"/>
      <c r="V20" s="1"/>
    </row>
    <row r="21" spans="1:22" x14ac:dyDescent="0.3">
      <c r="A21" s="31"/>
      <c r="B21" s="9"/>
      <c r="C21" s="10"/>
      <c r="D21" s="10"/>
      <c r="J21" s="4"/>
      <c r="K21" s="4"/>
      <c r="V21" s="1"/>
    </row>
    <row r="22" spans="1:22" x14ac:dyDescent="0.3">
      <c r="A22" s="32"/>
      <c r="D22" s="2"/>
      <c r="J22" s="4"/>
      <c r="K22" s="4"/>
      <c r="L22" s="3"/>
      <c r="N22" s="2"/>
      <c r="V22" s="1"/>
    </row>
    <row r="23" spans="1:22" x14ac:dyDescent="0.3">
      <c r="A23" s="32"/>
      <c r="D23" s="2"/>
      <c r="J23" s="4"/>
      <c r="K23" s="4"/>
      <c r="L23" s="3"/>
      <c r="N23" s="2"/>
      <c r="V23" s="1"/>
    </row>
    <row r="24" spans="1:22" x14ac:dyDescent="0.3">
      <c r="A24" s="32"/>
      <c r="J24" s="4"/>
      <c r="K24" s="4"/>
      <c r="L24" s="3"/>
      <c r="N24" s="2"/>
      <c r="V24" s="1"/>
    </row>
    <row r="25" spans="1:22" x14ac:dyDescent="0.3">
      <c r="D25" s="4"/>
      <c r="L25" s="4"/>
      <c r="U25" s="4"/>
      <c r="V25" s="3"/>
    </row>
    <row r="26" spans="1:22" x14ac:dyDescent="0.3">
      <c r="A26" s="1" t="s">
        <v>74</v>
      </c>
      <c r="B26" s="1" t="s">
        <v>61</v>
      </c>
      <c r="C26" s="1" t="s">
        <v>62</v>
      </c>
      <c r="D26" s="29" t="s">
        <v>63</v>
      </c>
      <c r="E26" s="29" t="s">
        <v>78</v>
      </c>
      <c r="F26" s="1" t="s">
        <v>79</v>
      </c>
      <c r="L26" s="4"/>
      <c r="N26" s="2"/>
      <c r="U26" s="4"/>
      <c r="V26" s="3"/>
    </row>
    <row r="27" spans="1:22" x14ac:dyDescent="0.3">
      <c r="A27" s="9" t="s">
        <v>64</v>
      </c>
      <c r="B27" s="9">
        <v>2.8260000000000001</v>
      </c>
      <c r="C27" s="9">
        <v>-0.124</v>
      </c>
      <c r="D27" s="9">
        <v>0.26800000000000002</v>
      </c>
      <c r="E27" s="10">
        <v>-1.6359144329753197</v>
      </c>
      <c r="F27" s="9">
        <v>-3.01</v>
      </c>
      <c r="L27" s="1"/>
      <c r="N27" s="1"/>
      <c r="O27" s="1"/>
      <c r="U27" s="4"/>
      <c r="V27" s="3"/>
    </row>
    <row r="28" spans="1:22" x14ac:dyDescent="0.3">
      <c r="A28" t="s">
        <v>91</v>
      </c>
      <c r="B28">
        <v>2.4460000000000002</v>
      </c>
      <c r="C28">
        <v>-9.6000000000000002E-2</v>
      </c>
      <c r="D28">
        <v>0.35499999999999998</v>
      </c>
      <c r="E28" s="39">
        <v>-3.0637317440686513</v>
      </c>
      <c r="F28">
        <v>-3.77</v>
      </c>
      <c r="O28" s="3"/>
      <c r="U28" s="4"/>
      <c r="V28" s="3"/>
    </row>
    <row r="29" spans="1:22" x14ac:dyDescent="0.3">
      <c r="A29" s="46" t="s">
        <v>86</v>
      </c>
      <c r="B29" s="46">
        <v>2.7810000000000001</v>
      </c>
      <c r="C29" s="46">
        <v>-0.56499999999999995</v>
      </c>
      <c r="D29" s="47">
        <v>0.14799999999999999</v>
      </c>
      <c r="E29" s="48">
        <v>-1.0410931983520746</v>
      </c>
      <c r="F29" s="46">
        <v>-2.42</v>
      </c>
      <c r="O29" s="3"/>
    </row>
    <row r="30" spans="1:22" x14ac:dyDescent="0.3">
      <c r="A30" t="s">
        <v>87</v>
      </c>
      <c r="B30" s="34">
        <v>1.99</v>
      </c>
      <c r="C30" s="15">
        <v>-0.56499999999999995</v>
      </c>
      <c r="D30" s="36">
        <v>0.191</v>
      </c>
      <c r="E30" s="39">
        <v>-4.9171205600830286</v>
      </c>
      <c r="F30">
        <v>-4.55</v>
      </c>
      <c r="K30" s="4"/>
      <c r="O30" s="3"/>
    </row>
    <row r="31" spans="1:22" x14ac:dyDescent="0.3">
      <c r="A31" s="9" t="s">
        <v>88</v>
      </c>
      <c r="B31" s="43">
        <v>3.4910000000000001</v>
      </c>
      <c r="C31" s="9">
        <v>-0.34699999999999998</v>
      </c>
      <c r="D31" s="44">
        <v>0.45</v>
      </c>
      <c r="E31" s="10">
        <v>-1.7467200049688729</v>
      </c>
      <c r="F31" s="9">
        <v>-3.55</v>
      </c>
      <c r="K31" s="4"/>
      <c r="L31" s="3"/>
      <c r="O31" s="3"/>
    </row>
    <row r="32" spans="1:22" x14ac:dyDescent="0.3">
      <c r="A32" t="s">
        <v>89</v>
      </c>
      <c r="B32" s="37">
        <v>2.34</v>
      </c>
      <c r="C32" s="15">
        <v>-0.61699999999999999</v>
      </c>
      <c r="D32" s="36">
        <v>0.313</v>
      </c>
      <c r="E32" s="39">
        <v>-3.459879211070751</v>
      </c>
      <c r="F32">
        <v>-3.68</v>
      </c>
      <c r="K32" s="4"/>
      <c r="L32" s="3"/>
      <c r="O32" s="6"/>
    </row>
    <row r="33" spans="1:15" ht="15.5" x14ac:dyDescent="0.3">
      <c r="A33" s="30" t="s">
        <v>90</v>
      </c>
      <c r="B33" s="15">
        <v>3.0030000000000001</v>
      </c>
      <c r="C33" s="15">
        <v>-0.61699999999999999</v>
      </c>
      <c r="D33" s="36">
        <v>-2.1000000000000001E-2</v>
      </c>
      <c r="E33" s="39">
        <v>-1.0706017583541212</v>
      </c>
      <c r="F33">
        <v>-1.57</v>
      </c>
      <c r="K33" s="4"/>
      <c r="L33" s="3"/>
      <c r="O33" s="6"/>
    </row>
    <row r="34" spans="1:15" x14ac:dyDescent="0.3">
      <c r="A34" s="45" t="s">
        <v>93</v>
      </c>
      <c r="B34" s="9">
        <v>3.468</v>
      </c>
      <c r="C34" s="43">
        <v>-0.42</v>
      </c>
      <c r="D34" s="44">
        <v>-0.373</v>
      </c>
      <c r="E34" s="11">
        <v>-1.8533052209687684</v>
      </c>
      <c r="F34" s="9">
        <v>0.02</v>
      </c>
      <c r="K34" s="4"/>
      <c r="L34" s="3"/>
      <c r="O34" s="6"/>
    </row>
    <row r="35" spans="1:15" x14ac:dyDescent="0.3">
      <c r="A35" s="45" t="s">
        <v>94</v>
      </c>
      <c r="B35" s="9">
        <v>3.5369999999999999</v>
      </c>
      <c r="C35" s="9">
        <v>-0.504</v>
      </c>
      <c r="D35" s="44">
        <v>-0.29199999999999998</v>
      </c>
      <c r="E35" s="11">
        <v>-1.6302171733595734</v>
      </c>
      <c r="F35" s="9">
        <v>-0.31</v>
      </c>
      <c r="K35" s="4"/>
      <c r="L35" s="3"/>
      <c r="O35" s="6"/>
    </row>
    <row r="36" spans="1:15" x14ac:dyDescent="0.3">
      <c r="A36" s="31" t="s">
        <v>95</v>
      </c>
      <c r="B36" s="9">
        <v>3.5529999999999999</v>
      </c>
      <c r="C36" s="9">
        <v>-0.52500000000000002</v>
      </c>
      <c r="D36" s="44">
        <v>-0.29199999999999998</v>
      </c>
      <c r="E36" s="11">
        <v>-1.7178145537343026</v>
      </c>
      <c r="F36" s="10">
        <v>-0.3</v>
      </c>
      <c r="K36" s="4"/>
      <c r="L36" s="3"/>
    </row>
    <row r="37" spans="1:15" x14ac:dyDescent="0.3">
      <c r="A37" s="9" t="s">
        <v>96</v>
      </c>
      <c r="B37" s="9">
        <v>2.544</v>
      </c>
      <c r="C37" s="9">
        <v>5.0999999999999997E-2</v>
      </c>
      <c r="D37" s="9">
        <v>0.17599999999999999</v>
      </c>
      <c r="E37" s="11">
        <v>-0.51411715362156063</v>
      </c>
      <c r="F37" s="9">
        <v>-2.89</v>
      </c>
      <c r="K37" s="4"/>
      <c r="L37" s="3"/>
    </row>
    <row r="38" spans="1:15" x14ac:dyDescent="0.3">
      <c r="A38" s="9" t="s">
        <v>96</v>
      </c>
      <c r="B38" s="9">
        <v>2.605</v>
      </c>
      <c r="C38" s="9">
        <v>-8.9999999999999993E-3</v>
      </c>
      <c r="D38" s="9">
        <v>0.17599999999999999</v>
      </c>
      <c r="E38" s="11">
        <v>-0.61233350506497197</v>
      </c>
      <c r="F38" s="9">
        <v>-2.81</v>
      </c>
      <c r="K38" s="4"/>
      <c r="L38" s="12"/>
    </row>
    <row r="39" spans="1:15" x14ac:dyDescent="0.3">
      <c r="A39" s="9" t="s">
        <v>96</v>
      </c>
      <c r="B39" s="9">
        <v>2.5009999999999999</v>
      </c>
      <c r="C39" s="9">
        <v>2.5999999999999999E-2</v>
      </c>
      <c r="D39" s="9">
        <v>0.17599999999999999</v>
      </c>
      <c r="E39" s="11">
        <v>-0.66733204749983122</v>
      </c>
      <c r="F39" s="9">
        <v>-2.94</v>
      </c>
      <c r="K39" s="4"/>
      <c r="L39" s="12"/>
    </row>
    <row r="41" spans="1:15" x14ac:dyDescent="0.3">
      <c r="L41" s="1"/>
    </row>
    <row r="42" spans="1:15" x14ac:dyDescent="0.3">
      <c r="O42" s="2"/>
    </row>
    <row r="43" spans="1:15" x14ac:dyDescent="0.3">
      <c r="H43" s="4"/>
      <c r="I43" s="4"/>
      <c r="K43" s="3"/>
      <c r="O43" s="2"/>
    </row>
    <row r="44" spans="1:15" x14ac:dyDescent="0.3">
      <c r="B44" s="34"/>
      <c r="H44" s="4"/>
      <c r="I44" s="4"/>
      <c r="K44" s="3"/>
      <c r="O44" s="2"/>
    </row>
    <row r="45" spans="1:15" x14ac:dyDescent="0.3">
      <c r="D45" s="34"/>
      <c r="H45" s="4"/>
      <c r="I45" s="4"/>
      <c r="K45" s="3"/>
      <c r="O45" s="2"/>
    </row>
    <row r="46" spans="1:15" x14ac:dyDescent="0.3">
      <c r="B46" s="34"/>
      <c r="O46" s="2"/>
    </row>
    <row r="47" spans="1:15" x14ac:dyDescent="0.3">
      <c r="O47" s="5"/>
    </row>
    <row r="48" spans="1:15" x14ac:dyDescent="0.3">
      <c r="A48" s="9"/>
      <c r="B48" s="9"/>
      <c r="C48" s="9"/>
      <c r="D48" s="10"/>
    </row>
    <row r="49" spans="1:9" x14ac:dyDescent="0.3">
      <c r="A49" s="9"/>
      <c r="B49" s="9"/>
      <c r="C49" s="9"/>
      <c r="D49" s="10"/>
    </row>
    <row r="50" spans="1:9" x14ac:dyDescent="0.3">
      <c r="A50" s="9"/>
      <c r="B50" s="9"/>
      <c r="C50" s="9"/>
      <c r="D50" s="10"/>
    </row>
    <row r="51" spans="1:9" x14ac:dyDescent="0.3">
      <c r="A51" s="9"/>
      <c r="B51" s="9"/>
      <c r="C51" s="9"/>
      <c r="D51" s="10"/>
    </row>
    <row r="52" spans="1:9" x14ac:dyDescent="0.3">
      <c r="D52" s="2"/>
    </row>
    <row r="53" spans="1:9" x14ac:dyDescent="0.3">
      <c r="D53" s="5"/>
    </row>
    <row r="55" spans="1:9" x14ac:dyDescent="0.3">
      <c r="A55" s="1"/>
      <c r="B55" s="1"/>
    </row>
    <row r="56" spans="1:9" ht="20" x14ac:dyDescent="0.4">
      <c r="A56" s="19"/>
      <c r="C56" s="2"/>
    </row>
    <row r="57" spans="1:9" ht="14.5" thickBot="1" x14ac:dyDescent="0.35">
      <c r="B57" s="3"/>
      <c r="C57" s="2"/>
    </row>
    <row r="58" spans="1:9" ht="15.5" x14ac:dyDescent="0.3">
      <c r="A58" s="1"/>
      <c r="C58" s="2"/>
      <c r="D58" s="1"/>
      <c r="E58" s="2"/>
      <c r="G58" s="21"/>
      <c r="H58" s="21"/>
      <c r="I58" s="7"/>
    </row>
    <row r="59" spans="1:9" ht="15.5" x14ac:dyDescent="0.3">
      <c r="C59" s="2"/>
      <c r="E59" s="2"/>
      <c r="G59" s="22"/>
      <c r="H59" s="22"/>
      <c r="I59" s="7"/>
    </row>
    <row r="60" spans="1:9" ht="15.5" x14ac:dyDescent="0.3">
      <c r="C60" s="2"/>
      <c r="E60" s="2"/>
      <c r="G60" s="22"/>
      <c r="H60" s="22"/>
      <c r="I60" s="7"/>
    </row>
    <row r="61" spans="1:9" ht="15.5" x14ac:dyDescent="0.3">
      <c r="A61" s="9"/>
      <c r="C61" s="2"/>
      <c r="E61" s="2"/>
      <c r="G61" s="22"/>
      <c r="H61" s="22"/>
      <c r="I61" s="7"/>
    </row>
    <row r="62" spans="1:9" ht="15.5" x14ac:dyDescent="0.3">
      <c r="A62" s="9"/>
      <c r="C62" s="2"/>
      <c r="E62" s="2"/>
      <c r="G62" s="22"/>
      <c r="H62" s="22"/>
      <c r="I62" s="7"/>
    </row>
    <row r="63" spans="1:9" ht="15.5" x14ac:dyDescent="0.3">
      <c r="C63" s="2"/>
      <c r="E63" s="2"/>
      <c r="G63" s="22"/>
      <c r="H63" s="22"/>
      <c r="I63" s="7"/>
    </row>
    <row r="64" spans="1:9" ht="15.5" x14ac:dyDescent="0.3">
      <c r="C64" s="2"/>
      <c r="E64" s="2"/>
      <c r="G64" s="22"/>
      <c r="H64" s="22"/>
      <c r="I64" s="7"/>
    </row>
    <row r="65" spans="1:9" ht="15.5" x14ac:dyDescent="0.3">
      <c r="C65" s="4"/>
      <c r="E65" s="2"/>
      <c r="G65" s="22"/>
      <c r="H65" s="22"/>
      <c r="I65" s="7"/>
    </row>
    <row r="66" spans="1:9" ht="15.5" x14ac:dyDescent="0.3">
      <c r="A66" s="9"/>
      <c r="B66" s="9"/>
      <c r="E66" s="2"/>
      <c r="G66" s="22"/>
      <c r="H66" s="22"/>
      <c r="I66" s="7"/>
    </row>
    <row r="67" spans="1:9" ht="16" thickBot="1" x14ac:dyDescent="0.35">
      <c r="A67" s="9"/>
      <c r="B67" s="9"/>
      <c r="E67" s="2"/>
      <c r="G67" s="23"/>
      <c r="H67" s="23"/>
      <c r="I67" s="7"/>
    </row>
    <row r="68" spans="1:9" ht="15.5" x14ac:dyDescent="0.3">
      <c r="E68" s="2"/>
      <c r="G68" s="22"/>
      <c r="H68" s="22"/>
      <c r="I68" s="7"/>
    </row>
    <row r="69" spans="1:9" ht="15.5" x14ac:dyDescent="0.3">
      <c r="G69" s="22"/>
      <c r="H69" s="22"/>
      <c r="I69" s="7"/>
    </row>
    <row r="70" spans="1:9" ht="15.5" x14ac:dyDescent="0.3">
      <c r="G70" s="22"/>
      <c r="H70" s="22"/>
      <c r="I70" s="7"/>
    </row>
    <row r="71" spans="1:9" ht="16" thickBot="1" x14ac:dyDescent="0.35">
      <c r="G71" s="23"/>
      <c r="H71" s="23"/>
      <c r="I71" s="7"/>
    </row>
    <row r="72" spans="1:9" x14ac:dyDescent="0.3">
      <c r="A72" s="9"/>
      <c r="B72" s="9"/>
      <c r="D72" s="9"/>
      <c r="E72" s="10"/>
    </row>
    <row r="73" spans="1:9" x14ac:dyDescent="0.3">
      <c r="A73" s="9"/>
      <c r="B73" s="9"/>
      <c r="D73" s="9"/>
      <c r="E73" s="10"/>
    </row>
    <row r="74" spans="1:9" x14ac:dyDescent="0.3">
      <c r="A74" s="9"/>
      <c r="B74" s="10"/>
      <c r="D74" s="9"/>
      <c r="E74" s="10"/>
    </row>
    <row r="75" spans="1:9" x14ac:dyDescent="0.3">
      <c r="A75" s="9"/>
      <c r="B75" s="10"/>
      <c r="D75" s="9"/>
      <c r="E75" s="10"/>
    </row>
    <row r="76" spans="1:9" x14ac:dyDescent="0.3">
      <c r="C76" s="2"/>
    </row>
    <row r="77" spans="1:9" x14ac:dyDescent="0.3">
      <c r="C77" s="2"/>
    </row>
    <row r="78" spans="1:9" x14ac:dyDescent="0.3">
      <c r="C78" s="2"/>
    </row>
    <row r="79" spans="1:9" x14ac:dyDescent="0.3">
      <c r="C79" s="2"/>
    </row>
    <row r="80" spans="1:9" x14ac:dyDescent="0.3">
      <c r="C80" s="3"/>
    </row>
    <row r="81" spans="1:3" x14ac:dyDescent="0.3">
      <c r="C81" s="3"/>
    </row>
    <row r="82" spans="1:3" x14ac:dyDescent="0.3">
      <c r="A82" s="1"/>
      <c r="C82" s="3"/>
    </row>
    <row r="83" spans="1:3" x14ac:dyDescent="0.3">
      <c r="C83" s="4"/>
    </row>
    <row r="84" spans="1:3" x14ac:dyDescent="0.3">
      <c r="C84" s="4"/>
    </row>
    <row r="85" spans="1:3" x14ac:dyDescent="0.3">
      <c r="C85" s="4"/>
    </row>
    <row r="86" spans="1:3" x14ac:dyDescent="0.3">
      <c r="C86" s="4"/>
    </row>
    <row r="87" spans="1:3" x14ac:dyDescent="0.3">
      <c r="C87" s="4"/>
    </row>
    <row r="88" spans="1:3" x14ac:dyDescent="0.3">
      <c r="C88" s="4"/>
    </row>
    <row r="89" spans="1:3" x14ac:dyDescent="0.3">
      <c r="C89" s="4"/>
    </row>
    <row r="90" spans="1:3" x14ac:dyDescent="0.3">
      <c r="C90" s="4"/>
    </row>
    <row r="91" spans="1:3" x14ac:dyDescent="0.3">
      <c r="C91" s="4"/>
    </row>
    <row r="92" spans="1:3" x14ac:dyDescent="0.3">
      <c r="C92" s="4"/>
    </row>
    <row r="93" spans="1:3" x14ac:dyDescent="0.3">
      <c r="A93" s="9"/>
      <c r="B93" s="9"/>
      <c r="C93" s="4"/>
    </row>
    <row r="94" spans="1:3" x14ac:dyDescent="0.3">
      <c r="A94" s="9"/>
      <c r="B94" s="10"/>
      <c r="C94" s="4"/>
    </row>
    <row r="95" spans="1:3" x14ac:dyDescent="0.3">
      <c r="A95" s="9"/>
      <c r="B95" s="10"/>
      <c r="C95" s="4"/>
    </row>
    <row r="96" spans="1:3" x14ac:dyDescent="0.3">
      <c r="A96" s="9"/>
      <c r="B96" s="9"/>
      <c r="C96" s="4"/>
    </row>
    <row r="101" spans="1:5" x14ac:dyDescent="0.3">
      <c r="B101" s="2"/>
      <c r="C101" s="2"/>
      <c r="D101" s="7"/>
      <c r="E101" s="2"/>
    </row>
    <row r="102" spans="1:5" x14ac:dyDescent="0.3">
      <c r="B102" s="2"/>
      <c r="C102" s="2"/>
      <c r="D102" s="7"/>
      <c r="E102" s="2"/>
    </row>
    <row r="103" spans="1:5" x14ac:dyDescent="0.3">
      <c r="B103" s="2"/>
      <c r="C103" s="2"/>
      <c r="D103" s="7"/>
      <c r="E103" s="2"/>
    </row>
    <row r="104" spans="1:5" x14ac:dyDescent="0.3">
      <c r="B104" s="2"/>
      <c r="C104" s="2"/>
      <c r="D104" s="7"/>
      <c r="E104" s="2"/>
    </row>
    <row r="105" spans="1:5" x14ac:dyDescent="0.3">
      <c r="B105" s="2"/>
      <c r="C105" s="2"/>
      <c r="D105" s="7"/>
      <c r="E105" s="2"/>
    </row>
    <row r="106" spans="1:5" x14ac:dyDescent="0.3">
      <c r="B106" s="2"/>
      <c r="C106" s="2"/>
      <c r="D106" s="7"/>
      <c r="E106" s="2"/>
    </row>
    <row r="107" spans="1:5" x14ac:dyDescent="0.3">
      <c r="B107" s="2"/>
      <c r="C107" s="2"/>
      <c r="D107" s="7"/>
      <c r="E107" s="2"/>
    </row>
    <row r="108" spans="1:5" x14ac:dyDescent="0.3">
      <c r="B108" s="2"/>
      <c r="C108" s="2"/>
      <c r="D108" s="7"/>
      <c r="E108" s="2"/>
    </row>
    <row r="109" spans="1:5" x14ac:dyDescent="0.3">
      <c r="B109" s="2"/>
      <c r="C109" s="2"/>
      <c r="D109" s="7"/>
      <c r="E109" s="2"/>
    </row>
    <row r="110" spans="1:5" x14ac:dyDescent="0.3">
      <c r="B110" s="2"/>
      <c r="C110" s="2"/>
      <c r="D110" s="7"/>
      <c r="E110" s="2"/>
    </row>
    <row r="111" spans="1:5" x14ac:dyDescent="0.3">
      <c r="A111" s="9"/>
      <c r="C111" s="10"/>
      <c r="D111" s="7"/>
      <c r="E111" s="2"/>
    </row>
    <row r="112" spans="1:5" x14ac:dyDescent="0.3">
      <c r="A112" s="9"/>
      <c r="B112" s="2"/>
      <c r="C112" s="10"/>
      <c r="D112" s="7"/>
      <c r="E112" s="2"/>
    </row>
    <row r="113" spans="1:5" x14ac:dyDescent="0.3">
      <c r="A113" s="9"/>
      <c r="B113" s="2"/>
      <c r="C113" s="10"/>
      <c r="D113" s="7"/>
      <c r="E113" s="2"/>
    </row>
    <row r="114" spans="1:5" x14ac:dyDescent="0.3">
      <c r="A114" s="9"/>
      <c r="C114" s="10"/>
      <c r="D114" s="7"/>
      <c r="E114" s="2"/>
    </row>
    <row r="115" spans="1:5" x14ac:dyDescent="0.3">
      <c r="E115" s="2"/>
    </row>
    <row r="118" spans="1:5" x14ac:dyDescent="0.3">
      <c r="A118" s="1"/>
    </row>
    <row r="119" spans="1:5" x14ac:dyDescent="0.3">
      <c r="B119" s="7"/>
      <c r="C119" s="7"/>
      <c r="D119" s="24"/>
    </row>
    <row r="120" spans="1:5" x14ac:dyDescent="0.3">
      <c r="B120" s="7"/>
      <c r="C120" s="7"/>
      <c r="D120" s="24"/>
    </row>
    <row r="121" spans="1:5" x14ac:dyDescent="0.3">
      <c r="B121" s="7"/>
      <c r="C121" s="7"/>
      <c r="D121" s="24"/>
    </row>
    <row r="122" spans="1:5" x14ac:dyDescent="0.3">
      <c r="B122" s="7"/>
      <c r="C122" s="7"/>
      <c r="D122" s="24"/>
    </row>
    <row r="123" spans="1:5" x14ac:dyDescent="0.3">
      <c r="B123" s="7"/>
      <c r="C123" s="7"/>
      <c r="D123" s="24"/>
    </row>
    <row r="124" spans="1:5" x14ac:dyDescent="0.3">
      <c r="B124" s="7"/>
      <c r="C124" s="7"/>
      <c r="D124" s="24"/>
    </row>
    <row r="125" spans="1:5" x14ac:dyDescent="0.3">
      <c r="B125" s="7"/>
      <c r="C125" s="7"/>
      <c r="D125" s="24"/>
    </row>
    <row r="126" spans="1:5" x14ac:dyDescent="0.3">
      <c r="B126" s="7"/>
      <c r="C126" s="7"/>
      <c r="D126" s="24"/>
    </row>
    <row r="127" spans="1:5" x14ac:dyDescent="0.3">
      <c r="B127" s="7"/>
      <c r="C127" s="7"/>
      <c r="D127" s="24"/>
    </row>
    <row r="128" spans="1:5" x14ac:dyDescent="0.3">
      <c r="B128" s="7"/>
      <c r="C128" s="7"/>
      <c r="D128" s="24"/>
    </row>
    <row r="129" spans="1:4" x14ac:dyDescent="0.3">
      <c r="A129" s="9"/>
      <c r="B129" s="4"/>
      <c r="C129" s="7"/>
      <c r="D129" s="24"/>
    </row>
    <row r="130" spans="1:4" x14ac:dyDescent="0.3">
      <c r="A130" s="9"/>
      <c r="B130" s="4"/>
      <c r="C130" s="7"/>
      <c r="D130" s="24"/>
    </row>
    <row r="131" spans="1:4" x14ac:dyDescent="0.3">
      <c r="A131" s="9"/>
      <c r="B131" s="4"/>
      <c r="C131" s="7"/>
      <c r="D131" s="24"/>
    </row>
    <row r="132" spans="1:4" x14ac:dyDescent="0.3">
      <c r="A132" s="9"/>
      <c r="B132" s="4"/>
      <c r="C132" s="7"/>
      <c r="D132" s="24"/>
    </row>
  </sheetData>
  <sheetProtection selectLockedCells="1" selectUnlockedCells="1"/>
  <pageMargins left="0.75" right="0.75" top="1" bottom="1" header="0.51180555555555551" footer="0.5118055555555555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opLeftCell="A34" zoomScale="70" zoomScaleNormal="70" zoomScaleSheetLayoutView="100" workbookViewId="0">
      <selection activeCell="D91" sqref="D91"/>
    </sheetView>
  </sheetViews>
  <sheetFormatPr defaultRowHeight="14" x14ac:dyDescent="0.3"/>
  <cols>
    <col min="1" max="1" width="29.6640625" customWidth="1"/>
    <col min="2" max="2" width="18.9140625" customWidth="1"/>
    <col min="3" max="3" width="18.08203125" customWidth="1"/>
    <col min="4" max="4" width="13.83203125" customWidth="1"/>
    <col min="5" max="5" width="16.1640625" customWidth="1"/>
  </cols>
  <sheetData>
    <row r="1" spans="1:3" x14ac:dyDescent="0.3">
      <c r="B1" s="14" t="s">
        <v>14</v>
      </c>
    </row>
    <row r="2" spans="1:3" x14ac:dyDescent="0.3">
      <c r="A2" s="1" t="s">
        <v>15</v>
      </c>
      <c r="B2" s="1" t="s">
        <v>16</v>
      </c>
      <c r="C2" s="1" t="s">
        <v>17</v>
      </c>
    </row>
    <row r="3" spans="1:3" x14ac:dyDescent="0.3">
      <c r="A3" t="s">
        <v>2</v>
      </c>
      <c r="B3">
        <v>-988.35919999999999</v>
      </c>
      <c r="C3">
        <v>-988.37180000000001</v>
      </c>
    </row>
    <row r="4" spans="1:3" x14ac:dyDescent="0.3">
      <c r="A4" t="s">
        <v>1</v>
      </c>
      <c r="B4" s="7">
        <v>-5.8137999999999996</v>
      </c>
      <c r="C4">
        <v>-5.8179999999999996</v>
      </c>
    </row>
    <row r="5" spans="1:3" x14ac:dyDescent="0.3">
      <c r="A5" t="s">
        <v>3</v>
      </c>
      <c r="B5">
        <v>-1000.1821</v>
      </c>
      <c r="C5">
        <v>-1000.2671</v>
      </c>
    </row>
    <row r="6" spans="1:3" x14ac:dyDescent="0.3">
      <c r="A6" t="s">
        <v>10</v>
      </c>
      <c r="B6">
        <v>-177.75190000000001</v>
      </c>
      <c r="C6">
        <v>-177.79679999999999</v>
      </c>
    </row>
    <row r="7" spans="1:3" x14ac:dyDescent="0.3">
      <c r="A7" t="s">
        <v>6</v>
      </c>
      <c r="B7">
        <v>-153.71420000000001</v>
      </c>
      <c r="C7">
        <v>-153.7722</v>
      </c>
    </row>
    <row r="8" spans="1:3" x14ac:dyDescent="0.3">
      <c r="A8" t="s">
        <v>9</v>
      </c>
      <c r="B8">
        <v>-578.64570000000003</v>
      </c>
      <c r="C8">
        <v>-578.74260000000004</v>
      </c>
    </row>
    <row r="9" spans="1:3" x14ac:dyDescent="0.3">
      <c r="A9" t="s">
        <v>7</v>
      </c>
      <c r="B9">
        <v>-238.0789</v>
      </c>
      <c r="C9">
        <v>-238.3006</v>
      </c>
    </row>
    <row r="10" spans="1:3" x14ac:dyDescent="0.3">
      <c r="A10" t="s">
        <v>8</v>
      </c>
      <c r="B10">
        <v>-1034.874</v>
      </c>
      <c r="C10">
        <v>-1034.9112</v>
      </c>
    </row>
    <row r="11" spans="1:3" x14ac:dyDescent="0.3">
      <c r="A11" s="15" t="s">
        <v>4</v>
      </c>
      <c r="B11" s="9"/>
      <c r="C11" s="15">
        <v>-875.10019999999997</v>
      </c>
    </row>
    <row r="23" spans="1:3" x14ac:dyDescent="0.3">
      <c r="A23" s="1" t="s">
        <v>0</v>
      </c>
    </row>
    <row r="24" spans="1:3" x14ac:dyDescent="0.3">
      <c r="A24" t="s">
        <v>18</v>
      </c>
      <c r="B24" s="7">
        <v>-527.54319999999996</v>
      </c>
      <c r="C24">
        <v>-527.54560000000004</v>
      </c>
    </row>
    <row r="25" spans="1:3" x14ac:dyDescent="0.3">
      <c r="A25" t="s">
        <v>19</v>
      </c>
      <c r="B25" s="7">
        <v>-460.81580000000002</v>
      </c>
      <c r="C25">
        <v>-460.82589999999999</v>
      </c>
    </row>
    <row r="26" spans="1:3" x14ac:dyDescent="0.3">
      <c r="A26" t="s">
        <v>20</v>
      </c>
      <c r="B26">
        <v>-2.9066000000000001</v>
      </c>
      <c r="C26">
        <v>-2.9089999999999998</v>
      </c>
    </row>
    <row r="27" spans="1:3" x14ac:dyDescent="0.3">
      <c r="A27" t="s">
        <v>21</v>
      </c>
      <c r="B27" s="7">
        <v>-500.09059999999999</v>
      </c>
      <c r="C27">
        <v>-500.13249999999999</v>
      </c>
    </row>
    <row r="28" spans="1:3" x14ac:dyDescent="0.3">
      <c r="A28" t="s">
        <v>22</v>
      </c>
      <c r="B28" s="7">
        <v>-77.298400000000001</v>
      </c>
      <c r="C28">
        <v>-77.327799999999996</v>
      </c>
    </row>
    <row r="29" spans="1:3" x14ac:dyDescent="0.3">
      <c r="A29" t="s">
        <v>23</v>
      </c>
      <c r="B29" s="7">
        <v>-100.4486</v>
      </c>
      <c r="C29">
        <v>-100.46129999999999</v>
      </c>
    </row>
    <row r="30" spans="1:3" x14ac:dyDescent="0.3">
      <c r="A30" t="s">
        <v>13</v>
      </c>
      <c r="B30" s="7">
        <v>-76.414500000000004</v>
      </c>
      <c r="C30">
        <v>-76.439899999999994</v>
      </c>
    </row>
    <row r="31" spans="1:3" x14ac:dyDescent="0.3">
      <c r="A31" t="s">
        <v>24</v>
      </c>
      <c r="B31" s="7">
        <v>-117.8248</v>
      </c>
      <c r="C31">
        <v>-117.9098</v>
      </c>
    </row>
    <row r="32" spans="1:3" x14ac:dyDescent="0.3">
      <c r="A32" t="s">
        <v>25</v>
      </c>
      <c r="B32" s="7">
        <v>-119.04</v>
      </c>
      <c r="C32">
        <v>-119.14919999999999</v>
      </c>
    </row>
    <row r="33" spans="1:5" x14ac:dyDescent="0.3">
      <c r="A33" t="s">
        <v>26</v>
      </c>
      <c r="B33" s="7">
        <v>-114.4786</v>
      </c>
      <c r="C33">
        <v>-114.50920000000001</v>
      </c>
    </row>
    <row r="34" spans="1:5" x14ac:dyDescent="0.3">
      <c r="A34" t="s">
        <v>27</v>
      </c>
      <c r="B34" s="7">
        <v>-199.52690000000001</v>
      </c>
      <c r="C34">
        <v>-199.53270000000001</v>
      </c>
    </row>
    <row r="35" spans="1:5" x14ac:dyDescent="0.3">
      <c r="A35" t="s">
        <v>28</v>
      </c>
      <c r="B35" s="7">
        <v>-437.5274</v>
      </c>
      <c r="C35">
        <v>-437.54939999999999</v>
      </c>
    </row>
    <row r="36" spans="1:5" x14ac:dyDescent="0.3">
      <c r="A36" t="s">
        <v>29</v>
      </c>
      <c r="B36" s="7">
        <v>-232.13720000000001</v>
      </c>
      <c r="C36">
        <v>-232.24379999999999</v>
      </c>
    </row>
    <row r="37" spans="1:5" x14ac:dyDescent="0.3">
      <c r="B37" s="7"/>
    </row>
    <row r="38" spans="1:5" x14ac:dyDescent="0.3">
      <c r="A38" t="s">
        <v>30</v>
      </c>
      <c r="B38">
        <v>-920.39589999999998</v>
      </c>
      <c r="C38">
        <v>-920.40070000000003</v>
      </c>
    </row>
    <row r="39" spans="1:5" x14ac:dyDescent="0.3">
      <c r="A39" t="s">
        <v>31</v>
      </c>
      <c r="B39">
        <v>-1623.2935</v>
      </c>
      <c r="C39">
        <v>-1623.2835</v>
      </c>
    </row>
    <row r="40" spans="1:5" x14ac:dyDescent="0.3">
      <c r="B40" s="7"/>
    </row>
    <row r="41" spans="1:5" x14ac:dyDescent="0.3">
      <c r="A41" t="s">
        <v>32</v>
      </c>
      <c r="B41">
        <v>-154.95169999999999</v>
      </c>
      <c r="C41">
        <v>-155.0369</v>
      </c>
    </row>
    <row r="42" spans="1:5" x14ac:dyDescent="0.3">
      <c r="A42" t="s">
        <v>54</v>
      </c>
      <c r="B42">
        <v>-1120.6657</v>
      </c>
      <c r="C42">
        <v>-1120.6736000000001</v>
      </c>
    </row>
    <row r="43" spans="1:5" x14ac:dyDescent="0.3">
      <c r="A43" t="s">
        <v>55</v>
      </c>
      <c r="B43">
        <v>-218.20679999999999</v>
      </c>
      <c r="C43">
        <v>-218.2338</v>
      </c>
    </row>
    <row r="44" spans="1:5" x14ac:dyDescent="0.3">
      <c r="A44" t="s">
        <v>53</v>
      </c>
      <c r="B44">
        <v>-311.9862</v>
      </c>
      <c r="C44">
        <v>-312.04169999999999</v>
      </c>
    </row>
    <row r="45" spans="1:5" x14ac:dyDescent="0.3">
      <c r="A45" t="s">
        <v>56</v>
      </c>
      <c r="B45">
        <v>-622.57650000000001</v>
      </c>
      <c r="C45">
        <v>-622.58090000000004</v>
      </c>
    </row>
    <row r="48" spans="1:5" x14ac:dyDescent="0.3">
      <c r="A48" s="1" t="s">
        <v>33</v>
      </c>
      <c r="B48" s="1" t="s">
        <v>34</v>
      </c>
      <c r="C48" t="s">
        <v>35</v>
      </c>
      <c r="D48" t="s">
        <v>36</v>
      </c>
      <c r="E48" t="s">
        <v>37</v>
      </c>
    </row>
    <row r="49" spans="1:5" x14ac:dyDescent="0.3">
      <c r="A49" t="s">
        <v>1</v>
      </c>
      <c r="B49">
        <f>B4-(2*B26)</f>
        <v>-5.9999999999948983E-4</v>
      </c>
      <c r="C49">
        <f>C4-(2*C26)</f>
        <v>0</v>
      </c>
      <c r="D49" s="3">
        <f t="shared" ref="D49:E51" si="0">B49*627.51</f>
        <v>-0.37650599999967987</v>
      </c>
      <c r="E49" s="2">
        <f t="shared" si="0"/>
        <v>0</v>
      </c>
    </row>
    <row r="50" spans="1:5" x14ac:dyDescent="0.3">
      <c r="A50" t="s">
        <v>2</v>
      </c>
      <c r="B50">
        <f>B3-(B24+B25)</f>
        <v>-2.0000000006348273E-4</v>
      </c>
      <c r="C50">
        <f>C3-(C24+C25)</f>
        <v>-3.0000000003838068E-4</v>
      </c>
      <c r="D50" s="3">
        <f t="shared" si="0"/>
        <v>-0.12550200003983605</v>
      </c>
      <c r="E50" s="2">
        <f t="shared" si="0"/>
        <v>-0.18825300002408427</v>
      </c>
    </row>
    <row r="51" spans="1:5" x14ac:dyDescent="0.3">
      <c r="A51" t="s">
        <v>3</v>
      </c>
      <c r="B51">
        <f>B5-(2*B27)</f>
        <v>-9.0000000000145519E-4</v>
      </c>
      <c r="C51">
        <f>C5-(2*C27)</f>
        <v>-2.1000000000412911E-3</v>
      </c>
      <c r="D51" s="3">
        <f t="shared" si="0"/>
        <v>-0.56475900000091317</v>
      </c>
      <c r="E51" s="2">
        <f t="shared" si="0"/>
        <v>-1.3177710000259106</v>
      </c>
    </row>
    <row r="52" spans="1:5" x14ac:dyDescent="0.3">
      <c r="A52" s="15" t="s">
        <v>4</v>
      </c>
      <c r="B52" s="16"/>
      <c r="C52">
        <f>C11-(2*C35)</f>
        <v>-1.3999999999896318E-3</v>
      </c>
      <c r="D52" s="17"/>
      <c r="E52" s="18">
        <f t="shared" ref="E52:E62" si="1">C52*627.51</f>
        <v>-0.87851399999349378</v>
      </c>
    </row>
    <row r="53" spans="1:5" x14ac:dyDescent="0.3">
      <c r="A53" t="s">
        <v>11</v>
      </c>
      <c r="B53" s="7">
        <f>B15-(B40+B27)</f>
        <v>500.09059999999999</v>
      </c>
      <c r="C53">
        <f>C15-(C40+C27)</f>
        <v>500.13249999999999</v>
      </c>
      <c r="D53">
        <f t="shared" ref="D53:E63" si="2">B53*627.51</f>
        <v>313811.85240600002</v>
      </c>
      <c r="E53" s="2">
        <f t="shared" si="1"/>
        <v>313838.14507500001</v>
      </c>
    </row>
    <row r="54" spans="1:5" x14ac:dyDescent="0.3">
      <c r="A54" t="s">
        <v>5</v>
      </c>
      <c r="B54">
        <f>B16-(2*B41)</f>
        <v>309.90339999999998</v>
      </c>
      <c r="C54">
        <f>C16-(2*C41)</f>
        <v>310.07380000000001</v>
      </c>
      <c r="D54">
        <f t="shared" si="2"/>
        <v>194467.48253399998</v>
      </c>
      <c r="E54" s="2">
        <f t="shared" si="1"/>
        <v>194574.41023800001</v>
      </c>
    </row>
    <row r="55" spans="1:5" x14ac:dyDescent="0.3">
      <c r="A55" t="s">
        <v>6</v>
      </c>
      <c r="B55">
        <f>B7-(B28+B30)</f>
        <v>-1.3000000000147338E-3</v>
      </c>
      <c r="C55">
        <f>C7-(C28+C30)</f>
        <v>-4.500000000007276E-3</v>
      </c>
      <c r="D55" s="3">
        <f t="shared" si="2"/>
        <v>-0.81576300000924562</v>
      </c>
      <c r="E55" s="2">
        <f t="shared" si="1"/>
        <v>-2.8237950000045657</v>
      </c>
    </row>
    <row r="56" spans="1:5" x14ac:dyDescent="0.3">
      <c r="A56" t="s">
        <v>7</v>
      </c>
      <c r="B56">
        <f>B9-(2*B32)</f>
        <v>1.1000000000080945E-3</v>
      </c>
      <c r="C56">
        <f>C9-(2*C32)</f>
        <v>-2.200000000016189E-3</v>
      </c>
      <c r="D56" s="3">
        <f t="shared" si="2"/>
        <v>0.69026100000507939</v>
      </c>
      <c r="E56" s="2">
        <f t="shared" si="1"/>
        <v>-1.3805220000101588</v>
      </c>
    </row>
    <row r="57" spans="1:5" x14ac:dyDescent="0.3">
      <c r="A57" t="s">
        <v>8</v>
      </c>
      <c r="B57" s="7">
        <f>B10-(B33+B38)</f>
        <v>4.9999999987448973E-4</v>
      </c>
      <c r="C57" s="7">
        <f>C10-(C33+C38)</f>
        <v>-1.299999999901047E-3</v>
      </c>
      <c r="D57" s="3">
        <f t="shared" si="2"/>
        <v>0.31375499992124106</v>
      </c>
      <c r="E57" s="2">
        <f t="shared" si="1"/>
        <v>-0.81576299993790602</v>
      </c>
    </row>
    <row r="58" spans="1:5" x14ac:dyDescent="0.3">
      <c r="A58" t="s">
        <v>12</v>
      </c>
      <c r="B58">
        <f>B12-(B36+B37)</f>
        <v>232.13720000000001</v>
      </c>
      <c r="C58">
        <f>C12-(C36+C37)</f>
        <v>232.24379999999999</v>
      </c>
      <c r="D58" s="3">
        <f t="shared" si="2"/>
        <v>145668.414372</v>
      </c>
      <c r="E58" s="2">
        <f t="shared" si="1"/>
        <v>145735.30693799999</v>
      </c>
    </row>
    <row r="59" spans="1:5" x14ac:dyDescent="0.3">
      <c r="A59" t="s">
        <v>9</v>
      </c>
      <c r="B59">
        <f>B8-(B31+B25)</f>
        <v>-5.0999999999703505E-3</v>
      </c>
      <c r="C59">
        <f>C8-(C31+C25)</f>
        <v>-6.9000000000869477E-3</v>
      </c>
      <c r="D59" s="3">
        <f t="shared" si="2"/>
        <v>-3.2003009999813945</v>
      </c>
      <c r="E59" s="2">
        <f t="shared" si="1"/>
        <v>-4.3298190000545604</v>
      </c>
    </row>
    <row r="60" spans="1:5" x14ac:dyDescent="0.3">
      <c r="A60" t="s">
        <v>10</v>
      </c>
      <c r="B60">
        <f>B6-(B29+B28)</f>
        <v>-4.8999999999921329E-3</v>
      </c>
      <c r="C60">
        <f>C6-(C29+C28)</f>
        <v>-7.6999999999998181E-3</v>
      </c>
      <c r="D60" s="3">
        <f t="shared" si="2"/>
        <v>-3.0747989999950631</v>
      </c>
      <c r="E60" s="2">
        <f t="shared" si="1"/>
        <v>-4.831826999999886</v>
      </c>
    </row>
    <row r="61" spans="1:5" x14ac:dyDescent="0.3">
      <c r="A61" t="s">
        <v>51</v>
      </c>
      <c r="C61">
        <f>C17-(2*C36)</f>
        <v>464.48759999999999</v>
      </c>
      <c r="D61" s="3"/>
      <c r="E61" s="2">
        <f t="shared" si="1"/>
        <v>291470.61387599999</v>
      </c>
    </row>
    <row r="62" spans="1:5" x14ac:dyDescent="0.3">
      <c r="A62" t="s">
        <v>52</v>
      </c>
      <c r="B62">
        <f>C42-B43</f>
        <v>-902.46680000000015</v>
      </c>
      <c r="C62" t="e">
        <f>#REF!-C43</f>
        <v>#REF!</v>
      </c>
      <c r="D62" s="3">
        <f t="shared" si="2"/>
        <v>-566306.94166800007</v>
      </c>
      <c r="E62" s="2" t="e">
        <f t="shared" si="1"/>
        <v>#REF!</v>
      </c>
    </row>
    <row r="63" spans="1:5" x14ac:dyDescent="0.3">
      <c r="A63" t="s">
        <v>53</v>
      </c>
      <c r="B63">
        <f>(B44+2*B45)-(2*B43+B42)</f>
        <v>-5.9900000000197906E-2</v>
      </c>
      <c r="C63">
        <f>(C44+2*C45)-(2*C43+C42)</f>
        <v>-6.2300000000050204E-2</v>
      </c>
      <c r="D63" s="3">
        <f t="shared" si="2"/>
        <v>-37.587849000124187</v>
      </c>
      <c r="E63" s="3">
        <f t="shared" si="2"/>
        <v>-39.0938730000315</v>
      </c>
    </row>
    <row r="64" spans="1:5" x14ac:dyDescent="0.3">
      <c r="D64" s="3"/>
      <c r="E64" s="2"/>
    </row>
    <row r="66" spans="1:4" x14ac:dyDescent="0.3">
      <c r="A66" s="1"/>
    </row>
    <row r="67" spans="1:4" x14ac:dyDescent="0.3">
      <c r="B67" s="2"/>
    </row>
    <row r="68" spans="1:4" ht="14.5" thickBot="1" x14ac:dyDescent="0.35">
      <c r="B68" s="2"/>
    </row>
    <row r="69" spans="1:4" ht="16" thickBot="1" x14ac:dyDescent="0.35">
      <c r="B69" s="25" t="s">
        <v>50</v>
      </c>
    </row>
    <row r="70" spans="1:4" ht="37.5" thickBot="1" x14ac:dyDescent="0.35">
      <c r="A70" s="28" t="s">
        <v>58</v>
      </c>
      <c r="B70" s="27" t="s">
        <v>57</v>
      </c>
      <c r="C70" t="s">
        <v>60</v>
      </c>
      <c r="D70" t="s">
        <v>59</v>
      </c>
    </row>
    <row r="71" spans="1:4" ht="15.5" x14ac:dyDescent="0.3">
      <c r="A71" s="26">
        <v>-0.19</v>
      </c>
      <c r="B71" s="26">
        <v>-0.06</v>
      </c>
      <c r="C71">
        <f>B71-A71</f>
        <v>0.13</v>
      </c>
      <c r="D71">
        <f>ABS(C71)</f>
        <v>0.13</v>
      </c>
    </row>
    <row r="72" spans="1:4" ht="15.5" x14ac:dyDescent="0.3">
      <c r="A72" s="26">
        <v>-1.32</v>
      </c>
      <c r="B72" s="26">
        <v>-1.44</v>
      </c>
      <c r="C72">
        <f t="shared" ref="C72:C90" si="3">B72-A72</f>
        <v>-0.11999999999999988</v>
      </c>
      <c r="D72">
        <f t="shared" ref="D72:D90" si="4">ABS(C72)</f>
        <v>0.11999999999999988</v>
      </c>
    </row>
    <row r="73" spans="1:4" ht="15.5" x14ac:dyDescent="0.3">
      <c r="A73" s="26">
        <v>-0.88</v>
      </c>
      <c r="B73" s="26">
        <v>-1.17</v>
      </c>
      <c r="C73">
        <f t="shared" si="3"/>
        <v>-0.28999999999999992</v>
      </c>
      <c r="D73">
        <f t="shared" si="4"/>
        <v>0.28999999999999992</v>
      </c>
    </row>
    <row r="74" spans="1:4" ht="15.5" x14ac:dyDescent="0.3">
      <c r="A74" s="26">
        <v>-3.51</v>
      </c>
      <c r="B74" s="26">
        <v>-3.08</v>
      </c>
      <c r="C74">
        <f t="shared" si="3"/>
        <v>0.42999999999999972</v>
      </c>
      <c r="D74">
        <f t="shared" si="4"/>
        <v>0.42999999999999972</v>
      </c>
    </row>
    <row r="75" spans="1:4" ht="15.5" x14ac:dyDescent="0.3">
      <c r="A75" s="26">
        <v>-0.82</v>
      </c>
      <c r="B75" s="26">
        <v>-1.4</v>
      </c>
      <c r="C75">
        <f t="shared" si="3"/>
        <v>-0.57999999999999996</v>
      </c>
      <c r="D75">
        <f t="shared" si="4"/>
        <v>0.57999999999999996</v>
      </c>
    </row>
    <row r="76" spans="1:4" ht="15.5" x14ac:dyDescent="0.3">
      <c r="A76" s="26">
        <v>-2.82</v>
      </c>
      <c r="B76" s="26">
        <v>-2.7</v>
      </c>
      <c r="C76">
        <f t="shared" si="3"/>
        <v>0.11999999999999966</v>
      </c>
      <c r="D76">
        <f t="shared" si="4"/>
        <v>0.11999999999999966</v>
      </c>
    </row>
    <row r="77" spans="1:4" ht="15.5" x14ac:dyDescent="0.3">
      <c r="A77" s="26">
        <v>-1.38</v>
      </c>
      <c r="B77" s="26">
        <v>-2.17</v>
      </c>
      <c r="C77">
        <f t="shared" si="3"/>
        <v>-0.79</v>
      </c>
      <c r="D77">
        <f t="shared" si="4"/>
        <v>0.79</v>
      </c>
    </row>
    <row r="78" spans="1:4" ht="15.5" x14ac:dyDescent="0.3">
      <c r="A78" s="26">
        <v>-3.45</v>
      </c>
      <c r="B78" s="26">
        <v>-3.53</v>
      </c>
      <c r="C78">
        <f t="shared" si="3"/>
        <v>-7.9999999999999627E-2</v>
      </c>
      <c r="D78">
        <f t="shared" si="4"/>
        <v>7.9999999999999627E-2</v>
      </c>
    </row>
    <row r="79" spans="1:4" ht="15.5" x14ac:dyDescent="0.3">
      <c r="A79" s="26">
        <v>-10.48</v>
      </c>
      <c r="B79" s="26">
        <v>-11.71</v>
      </c>
      <c r="C79">
        <f t="shared" si="3"/>
        <v>-1.2300000000000004</v>
      </c>
      <c r="D79">
        <f t="shared" si="4"/>
        <v>1.2300000000000004</v>
      </c>
    </row>
    <row r="80" spans="1:4" ht="15.5" x14ac:dyDescent="0.3">
      <c r="A80" s="26">
        <v>-23.59</v>
      </c>
      <c r="B80" s="26">
        <v>-21.84</v>
      </c>
      <c r="C80">
        <f t="shared" si="3"/>
        <v>1.75</v>
      </c>
      <c r="D80">
        <f t="shared" si="4"/>
        <v>1.75</v>
      </c>
    </row>
    <row r="81" spans="1:4" ht="15.5" x14ac:dyDescent="0.3">
      <c r="A81" s="26">
        <v>-5.21</v>
      </c>
      <c r="B81" s="26">
        <v>-5.68</v>
      </c>
      <c r="C81">
        <f t="shared" si="3"/>
        <v>-0.46999999999999975</v>
      </c>
      <c r="D81">
        <f t="shared" si="4"/>
        <v>0.46999999999999975</v>
      </c>
    </row>
    <row r="82" spans="1:4" ht="15.5" x14ac:dyDescent="0.3">
      <c r="A82" s="26">
        <v>-4.0199999999999996</v>
      </c>
      <c r="B82" s="26">
        <v>-6.18</v>
      </c>
      <c r="C82">
        <f t="shared" si="3"/>
        <v>-2.16</v>
      </c>
      <c r="D82">
        <f t="shared" si="4"/>
        <v>2.16</v>
      </c>
    </row>
    <row r="83" spans="1:4" ht="15.5" x14ac:dyDescent="0.3">
      <c r="A83" s="26">
        <v>-2.5099999999999998</v>
      </c>
      <c r="B83" s="26">
        <v>-5.04</v>
      </c>
      <c r="C83">
        <f t="shared" si="3"/>
        <v>-2.5300000000000002</v>
      </c>
      <c r="D83">
        <f t="shared" si="4"/>
        <v>2.5300000000000002</v>
      </c>
    </row>
    <row r="84" spans="1:4" ht="15.5" x14ac:dyDescent="0.3">
      <c r="A84" s="26">
        <v>-1.38</v>
      </c>
      <c r="B84" s="26">
        <v>-1.91</v>
      </c>
      <c r="C84">
        <f t="shared" si="3"/>
        <v>-0.53</v>
      </c>
      <c r="D84">
        <f t="shared" si="4"/>
        <v>0.53</v>
      </c>
    </row>
    <row r="85" spans="1:4" ht="15.5" x14ac:dyDescent="0.3">
      <c r="A85" s="26">
        <v>-3.39</v>
      </c>
      <c r="B85" s="26">
        <v>-4.45</v>
      </c>
      <c r="C85">
        <f t="shared" si="3"/>
        <v>-1.06</v>
      </c>
      <c r="D85">
        <f t="shared" si="4"/>
        <v>1.06</v>
      </c>
    </row>
    <row r="86" spans="1:4" ht="15.5" x14ac:dyDescent="0.3">
      <c r="A86" s="26">
        <v>-1.76</v>
      </c>
      <c r="B86" s="26">
        <v>-3.94</v>
      </c>
      <c r="C86">
        <f t="shared" si="3"/>
        <v>-2.1799999999999997</v>
      </c>
      <c r="D86">
        <f t="shared" si="4"/>
        <v>2.1799999999999997</v>
      </c>
    </row>
    <row r="87" spans="1:4" ht="15.5" x14ac:dyDescent="0.3">
      <c r="A87" s="26">
        <v>-3.45</v>
      </c>
      <c r="B87" s="26">
        <v>-2.65</v>
      </c>
      <c r="C87">
        <f t="shared" si="3"/>
        <v>0.80000000000000027</v>
      </c>
      <c r="D87">
        <f t="shared" si="4"/>
        <v>0.80000000000000027</v>
      </c>
    </row>
    <row r="88" spans="1:4" ht="15.5" x14ac:dyDescent="0.3">
      <c r="A88" s="26">
        <v>-0.5</v>
      </c>
      <c r="B88" s="26">
        <v>-1.91</v>
      </c>
      <c r="C88">
        <f t="shared" si="3"/>
        <v>-1.41</v>
      </c>
      <c r="D88">
        <f t="shared" si="4"/>
        <v>1.41</v>
      </c>
    </row>
    <row r="89" spans="1:4" ht="15.5" x14ac:dyDescent="0.3">
      <c r="A89" s="26">
        <v>-46.93</v>
      </c>
      <c r="B89" s="26">
        <v>-36.42</v>
      </c>
      <c r="C89">
        <f t="shared" si="3"/>
        <v>10.509999999999998</v>
      </c>
      <c r="D89">
        <f t="shared" si="4"/>
        <v>10.509999999999998</v>
      </c>
    </row>
    <row r="90" spans="1:4" ht="16" thickBot="1" x14ac:dyDescent="0.35">
      <c r="A90" s="27">
        <v>-39.090000000000003</v>
      </c>
      <c r="B90" s="27">
        <v>-34.18</v>
      </c>
      <c r="C90">
        <f t="shared" si="3"/>
        <v>4.9100000000000037</v>
      </c>
      <c r="D90">
        <f t="shared" si="4"/>
        <v>4.9100000000000037</v>
      </c>
    </row>
    <row r="91" spans="1:4" x14ac:dyDescent="0.3">
      <c r="D91">
        <f>_xlfn.STDEV.S(C71:C90)</f>
        <v>2.8940517945388748</v>
      </c>
    </row>
  </sheetData>
  <sheetProtection selectLockedCells="1" selectUnlockedCells="1"/>
  <pageMargins left="0.75" right="0.75" top="1" bottom="1" header="0.51180555555555551" footer="0.51180555555555551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143"/>
  <sheetViews>
    <sheetView topLeftCell="A24" zoomScale="70" zoomScaleNormal="70" zoomScaleSheetLayoutView="100" workbookViewId="0">
      <selection activeCell="F32" sqref="F32:F34"/>
    </sheetView>
  </sheetViews>
  <sheetFormatPr defaultRowHeight="14" x14ac:dyDescent="0.3"/>
  <cols>
    <col min="1" max="1" width="33.83203125" customWidth="1"/>
    <col min="2" max="2" width="23.33203125" customWidth="1"/>
    <col min="3" max="3" width="15.83203125" customWidth="1"/>
    <col min="4" max="4" width="17.83203125" customWidth="1"/>
    <col min="5" max="5" width="12.6640625" customWidth="1"/>
    <col min="6" max="6" width="12.58203125" customWidth="1"/>
    <col min="7" max="7" width="22.6640625" customWidth="1"/>
    <col min="8" max="8" width="11" customWidth="1"/>
    <col min="9" max="9" width="17" customWidth="1"/>
    <col min="10" max="10" width="11.9140625" customWidth="1"/>
    <col min="11" max="11" width="13.83203125" customWidth="1"/>
    <col min="12" max="12" width="23.6640625" customWidth="1"/>
    <col min="13" max="13" width="19" customWidth="1"/>
    <col min="14" max="14" width="12.58203125" customWidth="1"/>
    <col min="15" max="15" width="15.4140625" customWidth="1"/>
  </cols>
  <sheetData>
    <row r="2" spans="1:22" x14ac:dyDescent="0.3">
      <c r="A2" t="s">
        <v>38</v>
      </c>
      <c r="C2" s="8" t="s">
        <v>39</v>
      </c>
    </row>
    <row r="4" spans="1:22" x14ac:dyDescent="0.3">
      <c r="A4" s="1" t="s">
        <v>0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49</v>
      </c>
    </row>
    <row r="5" spans="1:22" x14ac:dyDescent="0.3">
      <c r="A5" t="s">
        <v>1</v>
      </c>
      <c r="B5">
        <v>-5.9999999999999995E-4</v>
      </c>
      <c r="C5">
        <v>1.9997</v>
      </c>
      <c r="D5">
        <f>2+((-1)*B5)-C5</f>
        <v>8.9999999999990088E-4</v>
      </c>
      <c r="E5">
        <v>-5.9999999999999995E-4</v>
      </c>
      <c r="F5">
        <v>1.9997</v>
      </c>
      <c r="G5">
        <f>2+((-1)*E5)-F5</f>
        <v>8.9999999999990088E-4</v>
      </c>
      <c r="H5">
        <v>-5.0000000000000001E-4</v>
      </c>
      <c r="I5">
        <v>3.0697000000000001</v>
      </c>
      <c r="J5">
        <v>3.0697000000000001</v>
      </c>
      <c r="K5" s="20">
        <f t="shared" ref="K5:K17" si="0">((((D5*H5)/I5)+((G5*H5)/J5))*0.5)</f>
        <v>-1.4659412971950042E-7</v>
      </c>
      <c r="L5" s="3">
        <f t="shared" ref="L5:L17" si="1">((((D5*H5)/I5)+((G5*H5)/J5))*0.5)*627.51</f>
        <v>-9.1989282340283711E-5</v>
      </c>
    </row>
    <row r="6" spans="1:22" x14ac:dyDescent="0.3">
      <c r="A6" t="s">
        <v>64</v>
      </c>
      <c r="B6">
        <v>-2.5999999999999999E-2</v>
      </c>
      <c r="C6">
        <v>3.9620000000000002</v>
      </c>
      <c r="D6">
        <f>6+((-1)*B6)-C6</f>
        <v>2.0639999999999996</v>
      </c>
      <c r="E6">
        <v>0.155</v>
      </c>
      <c r="F6">
        <v>0.29899999999999999</v>
      </c>
      <c r="G6">
        <f t="shared" ref="G6:G14" si="2">1+((-1)*E6)-F6</f>
        <v>0.54600000000000004</v>
      </c>
      <c r="H6">
        <v>-5.8999999999999999E-3</v>
      </c>
      <c r="I6">
        <v>3.3319999999999999</v>
      </c>
      <c r="J6" s="13">
        <v>2.0659999999999998</v>
      </c>
      <c r="K6" s="4">
        <f t="shared" si="0"/>
        <v>-2.6069934072370476E-3</v>
      </c>
      <c r="L6" s="3">
        <f t="shared" si="1"/>
        <v>-1.6359144329753197</v>
      </c>
      <c r="V6" s="1"/>
    </row>
    <row r="7" spans="1:22" x14ac:dyDescent="0.3">
      <c r="A7" t="s">
        <v>65</v>
      </c>
      <c r="B7">
        <v>-1.2999999999999999E-2</v>
      </c>
      <c r="C7">
        <v>3.9470000000000001</v>
      </c>
      <c r="D7">
        <f>6+((-1)*B7)-C7</f>
        <v>2.0659999999999998</v>
      </c>
      <c r="E7">
        <v>-3.4000000000000002E-2</v>
      </c>
      <c r="F7">
        <v>0.47099999999999997</v>
      </c>
      <c r="G7">
        <f t="shared" si="2"/>
        <v>0.56300000000000006</v>
      </c>
      <c r="H7">
        <v>-3.7000000000000002E-3</v>
      </c>
      <c r="I7">
        <v>3.4750000000000001</v>
      </c>
      <c r="J7" s="13">
        <v>3.0910000000000002</v>
      </c>
      <c r="K7" s="4">
        <f t="shared" si="0"/>
        <v>-1.4368470402584435E-3</v>
      </c>
      <c r="L7" s="3">
        <f t="shared" si="1"/>
        <v>-0.90163588623257584</v>
      </c>
      <c r="V7" s="1"/>
    </row>
    <row r="8" spans="1:22" x14ac:dyDescent="0.3">
      <c r="A8" t="s">
        <v>66</v>
      </c>
      <c r="B8" t="s">
        <v>75</v>
      </c>
      <c r="C8" t="s">
        <v>75</v>
      </c>
      <c r="D8">
        <v>0.33100000000000002</v>
      </c>
      <c r="E8">
        <v>0.33</v>
      </c>
      <c r="F8">
        <v>0.182</v>
      </c>
      <c r="G8">
        <f t="shared" si="2"/>
        <v>0.48799999999999993</v>
      </c>
      <c r="H8">
        <v>-7.1000000000000004E-3</v>
      </c>
      <c r="I8">
        <v>4.3209999999999997</v>
      </c>
      <c r="J8" s="13">
        <v>1.9790000000000001</v>
      </c>
      <c r="K8" s="4">
        <f t="shared" si="0"/>
        <v>-1.1473309778127407E-3</v>
      </c>
      <c r="L8" s="3">
        <f t="shared" si="1"/>
        <v>-0.71996166188727295</v>
      </c>
      <c r="N8" s="2"/>
      <c r="V8" s="1"/>
    </row>
    <row r="9" spans="1:22" x14ac:dyDescent="0.3">
      <c r="A9" t="s">
        <v>77</v>
      </c>
      <c r="B9">
        <v>-2E-3</v>
      </c>
      <c r="C9">
        <v>3.9340000000000002</v>
      </c>
      <c r="D9">
        <f t="shared" ref="D9" si="3">6+((-1)*B9)-C9</f>
        <v>2.0679999999999996</v>
      </c>
      <c r="E9">
        <v>0.59899999999999998</v>
      </c>
      <c r="F9">
        <v>6.3E-2</v>
      </c>
      <c r="G9">
        <f t="shared" si="2"/>
        <v>0.33800000000000002</v>
      </c>
      <c r="H9">
        <v>-1.0999999999999999E-2</v>
      </c>
      <c r="I9">
        <v>3.0030000000000001</v>
      </c>
      <c r="J9" s="13">
        <v>1.698</v>
      </c>
      <c r="K9" s="4">
        <f t="shared" si="0"/>
        <v>-4.8823632198190491E-3</v>
      </c>
      <c r="L9" s="3">
        <f t="shared" si="1"/>
        <v>-3.0637317440686513</v>
      </c>
      <c r="N9" s="2"/>
      <c r="V9" s="1"/>
    </row>
    <row r="10" spans="1:22" x14ac:dyDescent="0.3">
      <c r="A10" t="s">
        <v>67</v>
      </c>
      <c r="B10">
        <v>1.7000000000000001E-2</v>
      </c>
      <c r="C10">
        <v>0.42</v>
      </c>
      <c r="D10">
        <f>1+((-1)*B10)-C10</f>
        <v>0.56299999999999994</v>
      </c>
      <c r="E10">
        <v>-2.3E-2</v>
      </c>
      <c r="F10">
        <v>0.45800000000000002</v>
      </c>
      <c r="G10">
        <f t="shared" si="2"/>
        <v>0.56499999999999995</v>
      </c>
      <c r="H10">
        <v>-3.5999999999999999E-3</v>
      </c>
      <c r="I10">
        <v>2.3530000000000002</v>
      </c>
      <c r="J10" s="13">
        <v>2.617</v>
      </c>
      <c r="K10" s="4">
        <f t="shared" si="0"/>
        <v>-8.1929714844633647E-4</v>
      </c>
      <c r="L10" s="3">
        <f t="shared" si="1"/>
        <v>-0.51411715362156063</v>
      </c>
      <c r="N10" s="2"/>
      <c r="V10" s="1"/>
    </row>
    <row r="11" spans="1:22" x14ac:dyDescent="0.3">
      <c r="A11" t="s">
        <v>67</v>
      </c>
      <c r="B11">
        <v>1.7000000000000001E-2</v>
      </c>
      <c r="C11">
        <v>0.42</v>
      </c>
      <c r="D11">
        <f t="shared" ref="D11:D12" si="4">1+((-1)*B11)-C11</f>
        <v>0.56299999999999994</v>
      </c>
      <c r="E11">
        <v>-2.3E-2</v>
      </c>
      <c r="F11">
        <v>0.45500000000000002</v>
      </c>
      <c r="G11">
        <f t="shared" si="2"/>
        <v>0.56799999999999984</v>
      </c>
      <c r="H11">
        <v>-4.4999999999999997E-3</v>
      </c>
      <c r="I11" s="35">
        <v>2.6589999999999998</v>
      </c>
      <c r="J11">
        <v>2.5590000000000002</v>
      </c>
      <c r="K11" s="4">
        <f t="shared" si="0"/>
        <v>-9.7581473612368239E-4</v>
      </c>
      <c r="L11" s="3">
        <f t="shared" si="1"/>
        <v>-0.61233350506497197</v>
      </c>
      <c r="N11" s="2"/>
      <c r="V11" s="1"/>
    </row>
    <row r="12" spans="1:22" x14ac:dyDescent="0.3">
      <c r="A12" t="s">
        <v>68</v>
      </c>
      <c r="B12">
        <v>1.7000000000000001E-2</v>
      </c>
      <c r="C12">
        <v>0.42</v>
      </c>
      <c r="D12">
        <f t="shared" si="4"/>
        <v>0.56299999999999994</v>
      </c>
      <c r="E12">
        <v>-3.5999999999999997E-2</v>
      </c>
      <c r="F12">
        <v>0.46200000000000002</v>
      </c>
      <c r="G12">
        <f t="shared" si="2"/>
        <v>0.57400000000000007</v>
      </c>
      <c r="H12">
        <v>-4.5999999999999999E-3</v>
      </c>
      <c r="I12">
        <v>2.452</v>
      </c>
      <c r="J12" s="13">
        <v>2.4660000000000002</v>
      </c>
      <c r="K12" s="4">
        <f t="shared" si="0"/>
        <v>-1.0634604189571979E-3</v>
      </c>
      <c r="L12" s="3">
        <f t="shared" si="1"/>
        <v>-0.66733204749983122</v>
      </c>
      <c r="N12" s="2"/>
      <c r="V12" s="1"/>
    </row>
    <row r="13" spans="1:22" x14ac:dyDescent="0.3">
      <c r="A13" t="s">
        <v>69</v>
      </c>
      <c r="B13">
        <v>-1.075</v>
      </c>
      <c r="C13">
        <v>8.0860000000000003</v>
      </c>
      <c r="D13">
        <f>8+((-1)*B13)-C13</f>
        <v>0.98899999999999899</v>
      </c>
      <c r="E13" s="34">
        <v>1.1999999999999999E-3</v>
      </c>
      <c r="F13">
        <v>0.435</v>
      </c>
      <c r="G13" s="34">
        <f t="shared" si="2"/>
        <v>0.56380000000000008</v>
      </c>
      <c r="H13">
        <v>-5.7999999999999996E-3</v>
      </c>
      <c r="I13" s="34">
        <v>3.09</v>
      </c>
      <c r="J13" s="13">
        <v>2.2370000000000001</v>
      </c>
      <c r="K13" s="4">
        <f t="shared" si="0"/>
        <v>-1.6590862270753845E-3</v>
      </c>
      <c r="L13" s="3">
        <f t="shared" si="1"/>
        <v>-1.0410931983520746</v>
      </c>
      <c r="N13" s="2"/>
      <c r="V13" s="1"/>
    </row>
    <row r="14" spans="1:22" x14ac:dyDescent="0.3">
      <c r="A14" t="s">
        <v>73</v>
      </c>
      <c r="B14">
        <v>-1.075</v>
      </c>
      <c r="C14">
        <v>8.0860000000000003</v>
      </c>
      <c r="D14">
        <f>8+((-1)*B14)-C14</f>
        <v>0.98899999999999899</v>
      </c>
      <c r="E14">
        <v>0.43099999999999999</v>
      </c>
      <c r="F14">
        <v>0.13200000000000001</v>
      </c>
      <c r="G14">
        <f t="shared" si="2"/>
        <v>0.43699999999999994</v>
      </c>
      <c r="H14">
        <v>-2.1700000000000001E-2</v>
      </c>
      <c r="I14">
        <v>2.3849999999999998</v>
      </c>
      <c r="J14" s="13">
        <v>1.421</v>
      </c>
      <c r="K14" s="4">
        <f t="shared" si="0"/>
        <v>-7.8359238260474386E-3</v>
      </c>
      <c r="L14" s="3">
        <f t="shared" si="1"/>
        <v>-4.9171205600830286</v>
      </c>
      <c r="N14" s="2"/>
      <c r="V14" s="1"/>
    </row>
    <row r="15" spans="1:22" x14ac:dyDescent="0.3">
      <c r="A15" t="s">
        <v>70</v>
      </c>
      <c r="B15">
        <v>-2.4E-2</v>
      </c>
      <c r="C15">
        <v>4.0179999999999998</v>
      </c>
      <c r="D15">
        <f>6+((-1)*B15)-C15</f>
        <v>2.0060000000000002</v>
      </c>
      <c r="E15">
        <v>0.47699999999999998</v>
      </c>
      <c r="F15">
        <v>3.552</v>
      </c>
      <c r="G15">
        <f>6+((-1)*E15)-F15</f>
        <v>1.9709999999999996</v>
      </c>
      <c r="H15">
        <v>-4.7999999999999996E-3</v>
      </c>
      <c r="I15">
        <v>3.3109999999999999</v>
      </c>
      <c r="J15" s="13">
        <v>3.5579999999999998</v>
      </c>
      <c r="K15" s="4">
        <f t="shared" si="0"/>
        <v>-2.7835731780670794E-3</v>
      </c>
      <c r="L15" s="3">
        <f t="shared" si="1"/>
        <v>-1.7467200049688729</v>
      </c>
      <c r="N15" s="2"/>
      <c r="V15" s="1"/>
    </row>
    <row r="16" spans="1:22" x14ac:dyDescent="0.3">
      <c r="A16" t="s">
        <v>71</v>
      </c>
      <c r="B16">
        <v>-1.0049999999999999</v>
      </c>
      <c r="C16">
        <v>6.3739999999999997</v>
      </c>
      <c r="D16">
        <f>7+((-1)*B16)-C16</f>
        <v>1.6309999999999993</v>
      </c>
      <c r="E16">
        <v>0.34699999999999998</v>
      </c>
      <c r="F16">
        <v>0.17599999999999999</v>
      </c>
      <c r="G16">
        <f>1+((-1)*E16)-F16</f>
        <v>0.47700000000000004</v>
      </c>
      <c r="H16">
        <v>-1.2699999999999999E-2</v>
      </c>
      <c r="I16">
        <v>2.7349999999999999</v>
      </c>
      <c r="J16" s="13">
        <v>1.754</v>
      </c>
      <c r="K16" s="4">
        <f t="shared" si="0"/>
        <v>-5.5136638636368359E-3</v>
      </c>
      <c r="L16" s="3">
        <f t="shared" si="1"/>
        <v>-3.459879211070751</v>
      </c>
      <c r="N16" s="2"/>
      <c r="V16" s="1"/>
    </row>
    <row r="17" spans="1:22" ht="15.5" x14ac:dyDescent="0.3">
      <c r="A17" s="30" t="s">
        <v>72</v>
      </c>
      <c r="B17">
        <v>-1.0049999999999999</v>
      </c>
      <c r="C17">
        <v>6.3739999999999997</v>
      </c>
      <c r="D17">
        <f>7+((-1)*B17)-C17</f>
        <v>1.6309999999999993</v>
      </c>
      <c r="E17">
        <v>-5.0000000000000001E-3</v>
      </c>
      <c r="F17" s="34">
        <v>0.441</v>
      </c>
      <c r="G17">
        <f>1+((-1)*E17)-F17</f>
        <v>0.56399999999999983</v>
      </c>
      <c r="H17" s="33">
        <v>-5.4999999999999997E-3</v>
      </c>
      <c r="I17" s="34">
        <v>4.1619999999999999</v>
      </c>
      <c r="J17" s="13">
        <v>2.468</v>
      </c>
      <c r="K17" s="4">
        <f t="shared" si="0"/>
        <v>-1.7061110713042361E-3</v>
      </c>
      <c r="L17" s="3">
        <f t="shared" si="1"/>
        <v>-1.0706017583541212</v>
      </c>
      <c r="N17" s="2"/>
      <c r="V17" s="1"/>
    </row>
    <row r="18" spans="1:22" ht="15.5" x14ac:dyDescent="0.3">
      <c r="A18" s="30"/>
      <c r="B18" s="33"/>
      <c r="C18" s="33"/>
      <c r="D18" s="34"/>
      <c r="H18" s="7"/>
      <c r="I18" s="34"/>
      <c r="J18" s="4"/>
      <c r="K18" s="4"/>
      <c r="L18" s="3"/>
      <c r="N18" s="2"/>
      <c r="V18" s="1"/>
    </row>
    <row r="19" spans="1:22" ht="15.5" x14ac:dyDescent="0.3">
      <c r="A19" s="30"/>
      <c r="B19" s="26"/>
      <c r="C19" s="26"/>
      <c r="J19" s="4"/>
      <c r="K19" s="4"/>
      <c r="L19" s="3"/>
      <c r="N19" s="2"/>
      <c r="V19" s="1"/>
    </row>
    <row r="20" spans="1:22" x14ac:dyDescent="0.3">
      <c r="A20" s="31"/>
      <c r="B20" s="9"/>
      <c r="C20" s="10"/>
      <c r="D20" s="10"/>
      <c r="J20" s="4"/>
      <c r="K20" s="4"/>
      <c r="V20" s="1"/>
    </row>
    <row r="21" spans="1:22" x14ac:dyDescent="0.3">
      <c r="A21" s="31"/>
      <c r="B21" s="9"/>
      <c r="C21" s="10"/>
      <c r="D21" s="10"/>
      <c r="J21" s="4"/>
      <c r="K21" s="4"/>
      <c r="V21" s="1"/>
    </row>
    <row r="22" spans="1:22" x14ac:dyDescent="0.3">
      <c r="A22" s="31"/>
      <c r="B22" s="9"/>
      <c r="C22" s="10"/>
      <c r="D22" s="10"/>
      <c r="J22" s="4"/>
      <c r="K22" s="4"/>
      <c r="V22" s="1"/>
    </row>
    <row r="23" spans="1:22" x14ac:dyDescent="0.3">
      <c r="A23" s="32"/>
      <c r="D23" s="2"/>
      <c r="J23" s="4"/>
      <c r="K23" s="4"/>
      <c r="L23" s="3"/>
      <c r="N23" s="2"/>
      <c r="V23" s="1"/>
    </row>
    <row r="24" spans="1:22" x14ac:dyDescent="0.3">
      <c r="A24" s="32"/>
      <c r="D24" s="2"/>
      <c r="J24" s="4"/>
      <c r="K24" s="4"/>
      <c r="L24" s="3"/>
      <c r="N24" s="2"/>
      <c r="V24" s="1"/>
    </row>
    <row r="25" spans="1:22" x14ac:dyDescent="0.3">
      <c r="A25" s="32"/>
      <c r="J25" s="4"/>
      <c r="K25" s="4"/>
      <c r="L25" s="3"/>
      <c r="N25" s="2"/>
      <c r="V25" s="1"/>
    </row>
    <row r="26" spans="1:22" x14ac:dyDescent="0.3">
      <c r="D26" s="4"/>
      <c r="L26" s="4"/>
      <c r="U26" s="4"/>
      <c r="V26" s="3"/>
    </row>
    <row r="27" spans="1:22" x14ac:dyDescent="0.3">
      <c r="A27" s="1" t="s">
        <v>74</v>
      </c>
      <c r="B27" s="1" t="s">
        <v>61</v>
      </c>
      <c r="C27" s="1" t="s">
        <v>62</v>
      </c>
      <c r="D27" s="29" t="s">
        <v>63</v>
      </c>
      <c r="E27" s="29" t="s">
        <v>78</v>
      </c>
      <c r="F27" s="1" t="s">
        <v>79</v>
      </c>
      <c r="L27" s="4"/>
      <c r="N27" s="2"/>
      <c r="U27" s="4"/>
      <c r="V27" s="3"/>
    </row>
    <row r="28" spans="1:22" x14ac:dyDescent="0.3">
      <c r="A28" t="s">
        <v>64</v>
      </c>
      <c r="B28" s="15">
        <v>2.8260000000000001</v>
      </c>
      <c r="C28" s="15">
        <v>-0.124</v>
      </c>
      <c r="D28" s="15">
        <v>0.26800000000000002</v>
      </c>
      <c r="E28" s="39">
        <v>-1.6359144329753197</v>
      </c>
      <c r="F28">
        <v>-3.01</v>
      </c>
      <c r="L28" s="1"/>
      <c r="N28" s="1"/>
      <c r="O28" s="1"/>
      <c r="U28" s="4"/>
      <c r="V28" s="3"/>
    </row>
    <row r="29" spans="1:22" x14ac:dyDescent="0.3">
      <c r="A29" t="s">
        <v>65</v>
      </c>
      <c r="B29">
        <v>3.1760000000000002</v>
      </c>
      <c r="C29" s="34">
        <v>-0.151</v>
      </c>
      <c r="D29">
        <v>-5.2999999999999999E-2</v>
      </c>
      <c r="E29" s="39">
        <v>-0.90163588623257584</v>
      </c>
      <c r="F29">
        <v>-1.48</v>
      </c>
      <c r="O29" s="3"/>
      <c r="U29" s="4"/>
      <c r="V29" s="3"/>
    </row>
    <row r="30" spans="1:22" x14ac:dyDescent="0.3">
      <c r="A30" t="s">
        <v>66</v>
      </c>
      <c r="B30">
        <v>2.7250000000000001</v>
      </c>
      <c r="C30">
        <v>-0.122</v>
      </c>
      <c r="D30" s="13">
        <v>0.307</v>
      </c>
      <c r="E30" s="39">
        <v>-0.71996166188727295</v>
      </c>
      <c r="F30">
        <v>-3.24</v>
      </c>
      <c r="O30" s="3"/>
      <c r="U30" s="4"/>
      <c r="V30" s="3"/>
    </row>
    <row r="31" spans="1:22" x14ac:dyDescent="0.3">
      <c r="A31" t="s">
        <v>76</v>
      </c>
      <c r="B31">
        <v>2.4460000000000002</v>
      </c>
      <c r="C31">
        <v>-9.6000000000000002E-2</v>
      </c>
      <c r="D31">
        <v>0.35499999999999998</v>
      </c>
      <c r="E31" s="39">
        <v>-3.0637317440686513</v>
      </c>
      <c r="F31">
        <v>-3.77</v>
      </c>
      <c r="O31" s="3"/>
      <c r="U31" s="4"/>
      <c r="V31" s="3"/>
    </row>
    <row r="32" spans="1:22" x14ac:dyDescent="0.3">
      <c r="A32" t="s">
        <v>67</v>
      </c>
      <c r="B32" s="15">
        <v>2.544</v>
      </c>
      <c r="C32">
        <v>5.0999999999999997E-2</v>
      </c>
      <c r="D32" s="15">
        <v>0.17599999999999999</v>
      </c>
      <c r="E32" s="39">
        <v>-0.51411715362156063</v>
      </c>
      <c r="F32">
        <v>-2.89</v>
      </c>
      <c r="O32" s="3"/>
    </row>
    <row r="33" spans="1:15" x14ac:dyDescent="0.3">
      <c r="A33" t="s">
        <v>67</v>
      </c>
      <c r="B33">
        <v>2.605</v>
      </c>
      <c r="C33">
        <v>-8.9999999999999993E-3</v>
      </c>
      <c r="D33" s="15">
        <v>0.17599999999999999</v>
      </c>
      <c r="E33" s="39">
        <v>-0.61233350506497197</v>
      </c>
      <c r="F33">
        <v>-2.81</v>
      </c>
      <c r="O33" s="3"/>
    </row>
    <row r="34" spans="1:15" x14ac:dyDescent="0.3">
      <c r="A34" t="s">
        <v>68</v>
      </c>
      <c r="B34">
        <v>2.5009999999999999</v>
      </c>
      <c r="C34">
        <v>2.5999999999999999E-2</v>
      </c>
      <c r="D34" s="15">
        <v>0.17599999999999999</v>
      </c>
      <c r="E34" s="39">
        <v>-0.66733204749983122</v>
      </c>
      <c r="F34">
        <v>-2.94</v>
      </c>
      <c r="O34" s="3"/>
    </row>
    <row r="35" spans="1:15" x14ac:dyDescent="0.3">
      <c r="A35" t="s">
        <v>69</v>
      </c>
      <c r="B35">
        <v>2.7810000000000001</v>
      </c>
      <c r="C35">
        <v>-0.56499999999999995</v>
      </c>
      <c r="D35" s="13">
        <v>0.14799999999999999</v>
      </c>
      <c r="E35" s="39">
        <v>-1.0410931983520746</v>
      </c>
      <c r="F35">
        <v>-2.42</v>
      </c>
      <c r="O35" s="3"/>
    </row>
    <row r="36" spans="1:15" x14ac:dyDescent="0.3">
      <c r="A36" t="s">
        <v>73</v>
      </c>
      <c r="B36" s="34">
        <v>1.99</v>
      </c>
      <c r="C36" s="15">
        <v>-0.56499999999999995</v>
      </c>
      <c r="D36" s="36">
        <v>0.191</v>
      </c>
      <c r="E36" s="39">
        <v>-4.9171205600830286</v>
      </c>
      <c r="F36">
        <v>-4.55</v>
      </c>
      <c r="K36" s="4"/>
      <c r="O36" s="3"/>
    </row>
    <row r="37" spans="1:15" x14ac:dyDescent="0.3">
      <c r="A37" t="s">
        <v>70</v>
      </c>
      <c r="B37" s="37">
        <v>3.4910000000000001</v>
      </c>
      <c r="C37" s="15">
        <v>-0.34699999999999998</v>
      </c>
      <c r="D37" s="36">
        <v>0.45</v>
      </c>
      <c r="E37" s="39">
        <v>-1.7467200049688729</v>
      </c>
      <c r="F37">
        <v>-3.55</v>
      </c>
      <c r="K37" s="4"/>
      <c r="L37" s="3"/>
      <c r="O37" s="3"/>
    </row>
    <row r="38" spans="1:15" x14ac:dyDescent="0.3">
      <c r="A38" t="s">
        <v>71</v>
      </c>
      <c r="B38" s="37">
        <v>2.34</v>
      </c>
      <c r="C38" s="15">
        <v>-0.61699999999999999</v>
      </c>
      <c r="D38" s="36">
        <v>0.313</v>
      </c>
      <c r="E38" s="39">
        <v>-3.459879211070751</v>
      </c>
      <c r="F38">
        <v>-3.68</v>
      </c>
      <c r="K38" s="4"/>
      <c r="L38" s="3"/>
      <c r="O38" s="6"/>
    </row>
    <row r="39" spans="1:15" ht="15.5" x14ac:dyDescent="0.3">
      <c r="A39" s="30" t="s">
        <v>72</v>
      </c>
      <c r="B39" s="15">
        <v>3.0030000000000001</v>
      </c>
      <c r="C39" s="15">
        <v>-0.61699999999999999</v>
      </c>
      <c r="D39" s="36">
        <v>-2.1000000000000001E-2</v>
      </c>
      <c r="E39" s="39">
        <v>-1.0706017583541212</v>
      </c>
      <c r="F39">
        <v>-1.57</v>
      </c>
      <c r="K39" s="4"/>
      <c r="L39" s="3"/>
      <c r="O39" s="6"/>
    </row>
    <row r="40" spans="1:15" x14ac:dyDescent="0.3">
      <c r="A40" s="9" t="s">
        <v>92</v>
      </c>
      <c r="B40" s="9"/>
      <c r="C40" s="9"/>
      <c r="D40" s="11"/>
      <c r="E40" s="3"/>
      <c r="K40" s="4"/>
      <c r="L40" s="3"/>
      <c r="O40" s="6"/>
    </row>
    <row r="41" spans="1:15" x14ac:dyDescent="0.3">
      <c r="A41" s="9"/>
      <c r="B41" s="9"/>
      <c r="C41" s="9"/>
      <c r="D41" s="11"/>
      <c r="E41" s="3"/>
      <c r="K41" s="4"/>
      <c r="L41" s="3"/>
      <c r="O41" s="6"/>
    </row>
    <row r="42" spans="1:15" x14ac:dyDescent="0.3">
      <c r="A42" s="9"/>
      <c r="D42" s="3"/>
      <c r="E42" s="3"/>
      <c r="K42" s="4"/>
      <c r="L42" s="3"/>
    </row>
    <row r="43" spans="1:15" x14ac:dyDescent="0.3">
      <c r="D43" s="6"/>
      <c r="E43" s="3"/>
      <c r="K43" s="4"/>
      <c r="L43" s="3"/>
    </row>
    <row r="44" spans="1:15" x14ac:dyDescent="0.3">
      <c r="D44" s="4"/>
      <c r="E44" s="12"/>
      <c r="K44" s="4"/>
      <c r="L44" s="12"/>
    </row>
    <row r="45" spans="1:15" x14ac:dyDescent="0.3">
      <c r="D45" s="4"/>
      <c r="E45" s="12"/>
      <c r="K45" s="4"/>
      <c r="L45" s="12"/>
    </row>
    <row r="46" spans="1:15" x14ac:dyDescent="0.3">
      <c r="A46" t="s">
        <v>80</v>
      </c>
      <c r="B46" t="s">
        <v>61</v>
      </c>
      <c r="C46" t="s">
        <v>81</v>
      </c>
      <c r="D46" t="s">
        <v>82</v>
      </c>
      <c r="E46" t="s">
        <v>83</v>
      </c>
      <c r="F46" t="s">
        <v>84</v>
      </c>
    </row>
    <row r="47" spans="1:15" x14ac:dyDescent="0.3">
      <c r="A47" t="s">
        <v>64</v>
      </c>
      <c r="B47">
        <v>2.8260000000000001</v>
      </c>
      <c r="C47">
        <v>-0.124</v>
      </c>
      <c r="D47">
        <v>0.26800000000000002</v>
      </c>
      <c r="E47">
        <v>-3.01</v>
      </c>
      <c r="F47">
        <v>-3.04</v>
      </c>
      <c r="L47" s="1"/>
    </row>
    <row r="48" spans="1:15" x14ac:dyDescent="0.3">
      <c r="A48" t="s">
        <v>65</v>
      </c>
      <c r="B48">
        <v>3.1760000000000002</v>
      </c>
      <c r="C48">
        <v>-0.151</v>
      </c>
      <c r="D48">
        <v>-5.2999999999999999E-2</v>
      </c>
      <c r="E48">
        <v>-1.48</v>
      </c>
      <c r="F48">
        <v>-1.19</v>
      </c>
      <c r="O48" s="2"/>
    </row>
    <row r="49" spans="1:15" x14ac:dyDescent="0.3">
      <c r="A49" t="s">
        <v>66</v>
      </c>
      <c r="B49">
        <v>2.7250000000000001</v>
      </c>
      <c r="C49">
        <v>-0.122</v>
      </c>
      <c r="D49">
        <v>0.307</v>
      </c>
      <c r="E49">
        <v>-3.24</v>
      </c>
      <c r="F49">
        <v>-3.33</v>
      </c>
      <c r="O49" s="2"/>
    </row>
    <row r="50" spans="1:15" x14ac:dyDescent="0.3">
      <c r="A50" t="s">
        <v>76</v>
      </c>
      <c r="B50">
        <v>2.4460000000000002</v>
      </c>
      <c r="C50">
        <v>-9.6000000000000002E-2</v>
      </c>
      <c r="D50">
        <v>0.35499999999999998</v>
      </c>
      <c r="E50">
        <v>-3.77</v>
      </c>
      <c r="F50">
        <v>-3.96</v>
      </c>
      <c r="O50" s="2"/>
    </row>
    <row r="51" spans="1:15" x14ac:dyDescent="0.3">
      <c r="A51" t="s">
        <v>67</v>
      </c>
      <c r="B51">
        <v>2.544</v>
      </c>
      <c r="C51">
        <v>5.0999999999999997E-2</v>
      </c>
      <c r="D51">
        <v>0.17599999999999999</v>
      </c>
      <c r="E51">
        <v>-2.89</v>
      </c>
      <c r="F51">
        <v>-2.9</v>
      </c>
      <c r="I51" s="1"/>
      <c r="J51" s="1"/>
      <c r="K51" s="1"/>
      <c r="O51" s="2"/>
    </row>
    <row r="52" spans="1:15" x14ac:dyDescent="0.3">
      <c r="A52" t="s">
        <v>67</v>
      </c>
      <c r="B52">
        <v>2.605</v>
      </c>
      <c r="C52">
        <v>-8.9999999999999993E-3</v>
      </c>
      <c r="D52">
        <v>0.17599999999999999</v>
      </c>
      <c r="E52">
        <v>-2.81</v>
      </c>
      <c r="F52">
        <v>-2.8</v>
      </c>
      <c r="H52" s="4"/>
      <c r="I52" s="4"/>
      <c r="K52" s="3"/>
      <c r="O52" s="2"/>
    </row>
    <row r="53" spans="1:15" x14ac:dyDescent="0.3">
      <c r="A53" t="s">
        <v>68</v>
      </c>
      <c r="B53">
        <v>2.5009999999999999</v>
      </c>
      <c r="C53">
        <v>2.5999999999999999E-2</v>
      </c>
      <c r="D53">
        <v>0.17599999999999999</v>
      </c>
      <c r="E53">
        <v>-2.94</v>
      </c>
      <c r="F53">
        <v>-2.96</v>
      </c>
      <c r="H53" s="4"/>
      <c r="I53" s="4"/>
      <c r="K53" s="3"/>
      <c r="O53" s="2"/>
    </row>
    <row r="54" spans="1:15" x14ac:dyDescent="0.3">
      <c r="A54" t="s">
        <v>69</v>
      </c>
      <c r="B54">
        <v>2.7810000000000001</v>
      </c>
      <c r="C54">
        <v>-0.56499999999999995</v>
      </c>
      <c r="D54">
        <v>0.14799999999999999</v>
      </c>
      <c r="E54">
        <v>-2.42</v>
      </c>
      <c r="F54">
        <v>-2.34</v>
      </c>
      <c r="H54" s="4"/>
      <c r="I54" s="4"/>
      <c r="K54" s="3"/>
      <c r="O54" s="2"/>
    </row>
    <row r="55" spans="1:15" x14ac:dyDescent="0.3">
      <c r="A55" t="s">
        <v>73</v>
      </c>
      <c r="B55" s="34">
        <v>1.99</v>
      </c>
      <c r="C55">
        <v>-0.56499999999999995</v>
      </c>
      <c r="D55">
        <v>0.191</v>
      </c>
      <c r="E55">
        <v>-4.55</v>
      </c>
      <c r="F55">
        <v>-4.91</v>
      </c>
      <c r="H55" s="4"/>
      <c r="I55" s="4"/>
      <c r="K55" s="3"/>
      <c r="O55" s="2"/>
    </row>
    <row r="56" spans="1:15" x14ac:dyDescent="0.3">
      <c r="A56" t="s">
        <v>70</v>
      </c>
      <c r="B56">
        <v>3.4910000000000001</v>
      </c>
      <c r="C56">
        <v>-0.34699999999999998</v>
      </c>
      <c r="D56" s="34">
        <v>0.45</v>
      </c>
      <c r="E56">
        <v>-3.55</v>
      </c>
      <c r="F56">
        <v>-3.69</v>
      </c>
      <c r="H56" s="4"/>
      <c r="I56" s="4"/>
      <c r="K56" s="3"/>
      <c r="O56" s="2"/>
    </row>
    <row r="57" spans="1:15" x14ac:dyDescent="0.3">
      <c r="A57" t="s">
        <v>71</v>
      </c>
      <c r="B57" s="34">
        <v>2.34</v>
      </c>
      <c r="C57">
        <v>-0.61699999999999999</v>
      </c>
      <c r="D57">
        <v>0.313</v>
      </c>
      <c r="E57">
        <v>-3.68</v>
      </c>
      <c r="F57">
        <v>-3.85</v>
      </c>
      <c r="O57" s="2"/>
    </row>
    <row r="58" spans="1:15" x14ac:dyDescent="0.3">
      <c r="A58" t="s">
        <v>72</v>
      </c>
      <c r="B58">
        <v>3.0030000000000001</v>
      </c>
      <c r="C58">
        <v>-0.61699999999999999</v>
      </c>
      <c r="D58">
        <v>-2.1000000000000001E-2</v>
      </c>
      <c r="E58">
        <v>-1.57</v>
      </c>
      <c r="F58">
        <v>-1.3</v>
      </c>
      <c r="O58" s="5"/>
    </row>
    <row r="59" spans="1:15" x14ac:dyDescent="0.3">
      <c r="A59" s="9"/>
      <c r="B59" s="9"/>
      <c r="C59" s="9"/>
      <c r="D59" s="10"/>
    </row>
    <row r="60" spans="1:15" x14ac:dyDescent="0.3">
      <c r="A60" s="9"/>
      <c r="B60" s="9"/>
      <c r="C60" s="9"/>
      <c r="D60" s="10"/>
    </row>
    <row r="61" spans="1:15" x14ac:dyDescent="0.3">
      <c r="A61" s="9"/>
      <c r="B61" s="9"/>
      <c r="C61" s="9"/>
      <c r="D61" s="10"/>
    </row>
    <row r="62" spans="1:15" x14ac:dyDescent="0.3">
      <c r="A62" s="9"/>
      <c r="B62" s="9"/>
      <c r="C62" s="9"/>
      <c r="D62" s="10"/>
    </row>
    <row r="63" spans="1:15" x14ac:dyDescent="0.3">
      <c r="D63" s="2"/>
    </row>
    <row r="64" spans="1:15" x14ac:dyDescent="0.3">
      <c r="D64" s="5"/>
    </row>
    <row r="66" spans="1:9" x14ac:dyDescent="0.3">
      <c r="A66" s="1"/>
      <c r="B66" s="1"/>
    </row>
    <row r="67" spans="1:9" ht="20" x14ac:dyDescent="0.4">
      <c r="A67" s="19"/>
      <c r="C67" s="2"/>
    </row>
    <row r="68" spans="1:9" ht="14.5" thickBot="1" x14ac:dyDescent="0.35">
      <c r="B68" s="3"/>
      <c r="C68" s="2"/>
    </row>
    <row r="69" spans="1:9" ht="15.5" x14ac:dyDescent="0.3">
      <c r="A69" s="1"/>
      <c r="C69" s="2"/>
      <c r="D69" s="1"/>
      <c r="E69" s="2"/>
      <c r="G69" s="21"/>
      <c r="H69" s="21"/>
      <c r="I69" s="7"/>
    </row>
    <row r="70" spans="1:9" ht="15.5" x14ac:dyDescent="0.3">
      <c r="C70" s="2"/>
      <c r="E70" s="2"/>
      <c r="G70" s="22"/>
      <c r="H70" s="22"/>
      <c r="I70" s="7"/>
    </row>
    <row r="71" spans="1:9" ht="15.5" x14ac:dyDescent="0.3">
      <c r="C71" s="2"/>
      <c r="E71" s="2"/>
      <c r="G71" s="22"/>
      <c r="H71" s="22"/>
      <c r="I71" s="7"/>
    </row>
    <row r="72" spans="1:9" ht="15.5" x14ac:dyDescent="0.3">
      <c r="A72" s="9"/>
      <c r="C72" s="2"/>
      <c r="E72" s="2"/>
      <c r="G72" s="22"/>
      <c r="H72" s="22"/>
      <c r="I72" s="7"/>
    </row>
    <row r="73" spans="1:9" ht="15.5" x14ac:dyDescent="0.3">
      <c r="A73" s="9"/>
      <c r="C73" s="2"/>
      <c r="E73" s="2"/>
      <c r="G73" s="22"/>
      <c r="H73" s="22"/>
      <c r="I73" s="7"/>
    </row>
    <row r="74" spans="1:9" ht="15.5" x14ac:dyDescent="0.3">
      <c r="C74" s="2"/>
      <c r="E74" s="2"/>
      <c r="G74" s="22"/>
      <c r="H74" s="22"/>
      <c r="I74" s="7"/>
    </row>
    <row r="75" spans="1:9" ht="15.5" x14ac:dyDescent="0.3">
      <c r="C75" s="2"/>
      <c r="E75" s="2"/>
      <c r="G75" s="22"/>
      <c r="H75" s="22"/>
      <c r="I75" s="7"/>
    </row>
    <row r="76" spans="1:9" ht="15.5" x14ac:dyDescent="0.3">
      <c r="C76" s="4"/>
      <c r="E76" s="2"/>
      <c r="G76" s="22"/>
      <c r="H76" s="22"/>
      <c r="I76" s="7"/>
    </row>
    <row r="77" spans="1:9" ht="15.5" x14ac:dyDescent="0.3">
      <c r="A77" s="9"/>
      <c r="B77" s="9"/>
      <c r="E77" s="2"/>
      <c r="G77" s="22"/>
      <c r="H77" s="22"/>
      <c r="I77" s="7"/>
    </row>
    <row r="78" spans="1:9" ht="16" thickBot="1" x14ac:dyDescent="0.35">
      <c r="A78" s="9"/>
      <c r="B78" s="9"/>
      <c r="E78" s="2"/>
      <c r="G78" s="23"/>
      <c r="H78" s="23"/>
      <c r="I78" s="7"/>
    </row>
    <row r="79" spans="1:9" ht="15.5" x14ac:dyDescent="0.3">
      <c r="E79" s="2"/>
      <c r="G79" s="22"/>
      <c r="H79" s="22"/>
      <c r="I79" s="7"/>
    </row>
    <row r="80" spans="1:9" ht="15.5" x14ac:dyDescent="0.3">
      <c r="G80" s="22"/>
      <c r="H80" s="22"/>
      <c r="I80" s="7"/>
    </row>
    <row r="81" spans="1:9" ht="15.5" x14ac:dyDescent="0.3">
      <c r="G81" s="22"/>
      <c r="H81" s="22"/>
      <c r="I81" s="7"/>
    </row>
    <row r="82" spans="1:9" ht="16" thickBot="1" x14ac:dyDescent="0.35">
      <c r="G82" s="23"/>
      <c r="H82" s="23"/>
      <c r="I82" s="7"/>
    </row>
    <row r="83" spans="1:9" x14ac:dyDescent="0.3">
      <c r="A83" s="9"/>
      <c r="B83" s="9"/>
      <c r="D83" s="9"/>
      <c r="E83" s="10"/>
    </row>
    <row r="84" spans="1:9" x14ac:dyDescent="0.3">
      <c r="A84" s="9"/>
      <c r="B84" s="9"/>
      <c r="D84" s="9"/>
      <c r="E84" s="10"/>
    </row>
    <row r="85" spans="1:9" x14ac:dyDescent="0.3">
      <c r="A85" s="9"/>
      <c r="B85" s="10"/>
      <c r="D85" s="9"/>
      <c r="E85" s="10"/>
    </row>
    <row r="86" spans="1:9" x14ac:dyDescent="0.3">
      <c r="A86" s="9"/>
      <c r="B86" s="10"/>
      <c r="D86" s="9"/>
      <c r="E86" s="10"/>
    </row>
    <row r="87" spans="1:9" x14ac:dyDescent="0.3">
      <c r="C87" s="2"/>
    </row>
    <row r="88" spans="1:9" x14ac:dyDescent="0.3">
      <c r="C88" s="2"/>
    </row>
    <row r="89" spans="1:9" x14ac:dyDescent="0.3">
      <c r="C89" s="2"/>
    </row>
    <row r="90" spans="1:9" x14ac:dyDescent="0.3">
      <c r="C90" s="2"/>
    </row>
    <row r="91" spans="1:9" x14ac:dyDescent="0.3">
      <c r="C91" s="3"/>
    </row>
    <row r="92" spans="1:9" x14ac:dyDescent="0.3">
      <c r="C92" s="3"/>
    </row>
    <row r="93" spans="1:9" x14ac:dyDescent="0.3">
      <c r="A93" s="1"/>
      <c r="C93" s="3"/>
    </row>
    <row r="94" spans="1:9" x14ac:dyDescent="0.3">
      <c r="C94" s="4"/>
    </row>
    <row r="95" spans="1:9" x14ac:dyDescent="0.3">
      <c r="C95" s="4"/>
    </row>
    <row r="96" spans="1:9" x14ac:dyDescent="0.3">
      <c r="C96" s="4"/>
    </row>
    <row r="97" spans="1:5" x14ac:dyDescent="0.3">
      <c r="C97" s="4"/>
    </row>
    <row r="98" spans="1:5" x14ac:dyDescent="0.3">
      <c r="C98" s="4"/>
    </row>
    <row r="99" spans="1:5" x14ac:dyDescent="0.3">
      <c r="C99" s="4"/>
    </row>
    <row r="100" spans="1:5" x14ac:dyDescent="0.3">
      <c r="C100" s="4"/>
    </row>
    <row r="101" spans="1:5" x14ac:dyDescent="0.3">
      <c r="C101" s="4"/>
    </row>
    <row r="102" spans="1:5" x14ac:dyDescent="0.3">
      <c r="C102" s="4"/>
    </row>
    <row r="103" spans="1:5" x14ac:dyDescent="0.3">
      <c r="C103" s="4"/>
    </row>
    <row r="104" spans="1:5" x14ac:dyDescent="0.3">
      <c r="A104" s="9"/>
      <c r="B104" s="9"/>
      <c r="C104" s="4"/>
    </row>
    <row r="105" spans="1:5" x14ac:dyDescent="0.3">
      <c r="A105" s="9"/>
      <c r="B105" s="10"/>
      <c r="C105" s="4"/>
    </row>
    <row r="106" spans="1:5" x14ac:dyDescent="0.3">
      <c r="A106" s="9"/>
      <c r="B106" s="10"/>
      <c r="C106" s="4"/>
    </row>
    <row r="107" spans="1:5" x14ac:dyDescent="0.3">
      <c r="A107" s="9"/>
      <c r="B107" s="9"/>
      <c r="C107" s="4"/>
    </row>
    <row r="112" spans="1:5" x14ac:dyDescent="0.3">
      <c r="B112" s="2"/>
      <c r="C112" s="2"/>
      <c r="D112" s="7"/>
      <c r="E112" s="2"/>
    </row>
    <row r="113" spans="1:5" x14ac:dyDescent="0.3">
      <c r="B113" s="2"/>
      <c r="C113" s="2"/>
      <c r="D113" s="7"/>
      <c r="E113" s="2"/>
    </row>
    <row r="114" spans="1:5" x14ac:dyDescent="0.3">
      <c r="B114" s="2"/>
      <c r="C114" s="2"/>
      <c r="D114" s="7"/>
      <c r="E114" s="2"/>
    </row>
    <row r="115" spans="1:5" x14ac:dyDescent="0.3">
      <c r="B115" s="2"/>
      <c r="C115" s="2"/>
      <c r="D115" s="7"/>
      <c r="E115" s="2"/>
    </row>
    <row r="116" spans="1:5" x14ac:dyDescent="0.3">
      <c r="B116" s="2"/>
      <c r="C116" s="2"/>
      <c r="D116" s="7"/>
      <c r="E116" s="2"/>
    </row>
    <row r="117" spans="1:5" x14ac:dyDescent="0.3">
      <c r="B117" s="2"/>
      <c r="C117" s="2"/>
      <c r="D117" s="7"/>
      <c r="E117" s="2"/>
    </row>
    <row r="118" spans="1:5" x14ac:dyDescent="0.3">
      <c r="B118" s="2"/>
      <c r="C118" s="2"/>
      <c r="D118" s="7"/>
      <c r="E118" s="2"/>
    </row>
    <row r="119" spans="1:5" x14ac:dyDescent="0.3">
      <c r="B119" s="2"/>
      <c r="C119" s="2"/>
      <c r="D119" s="7"/>
      <c r="E119" s="2"/>
    </row>
    <row r="120" spans="1:5" x14ac:dyDescent="0.3">
      <c r="B120" s="2"/>
      <c r="C120" s="2"/>
      <c r="D120" s="7"/>
      <c r="E120" s="2"/>
    </row>
    <row r="121" spans="1:5" x14ac:dyDescent="0.3">
      <c r="B121" s="2"/>
      <c r="C121" s="2"/>
      <c r="D121" s="7"/>
      <c r="E121" s="2"/>
    </row>
    <row r="122" spans="1:5" x14ac:dyDescent="0.3">
      <c r="A122" s="9"/>
      <c r="C122" s="10"/>
      <c r="D122" s="7"/>
      <c r="E122" s="2"/>
    </row>
    <row r="123" spans="1:5" x14ac:dyDescent="0.3">
      <c r="A123" s="9"/>
      <c r="B123" s="2"/>
      <c r="C123" s="10"/>
      <c r="D123" s="7"/>
      <c r="E123" s="2"/>
    </row>
    <row r="124" spans="1:5" x14ac:dyDescent="0.3">
      <c r="A124" s="9"/>
      <c r="B124" s="2"/>
      <c r="C124" s="10"/>
      <c r="D124" s="7"/>
      <c r="E124" s="2"/>
    </row>
    <row r="125" spans="1:5" x14ac:dyDescent="0.3">
      <c r="A125" s="9"/>
      <c r="C125" s="10"/>
      <c r="D125" s="7"/>
      <c r="E125" s="2"/>
    </row>
    <row r="126" spans="1:5" x14ac:dyDescent="0.3">
      <c r="E126" s="2"/>
    </row>
    <row r="129" spans="1:4" x14ac:dyDescent="0.3">
      <c r="A129" s="1"/>
    </row>
    <row r="130" spans="1:4" x14ac:dyDescent="0.3">
      <c r="B130" s="7"/>
      <c r="C130" s="7"/>
      <c r="D130" s="24"/>
    </row>
    <row r="131" spans="1:4" x14ac:dyDescent="0.3">
      <c r="B131" s="7"/>
      <c r="C131" s="7"/>
      <c r="D131" s="24"/>
    </row>
    <row r="132" spans="1:4" x14ac:dyDescent="0.3">
      <c r="B132" s="7"/>
      <c r="C132" s="7"/>
      <c r="D132" s="24"/>
    </row>
    <row r="133" spans="1:4" x14ac:dyDescent="0.3">
      <c r="B133" s="7"/>
      <c r="C133" s="7"/>
      <c r="D133" s="24"/>
    </row>
    <row r="134" spans="1:4" x14ac:dyDescent="0.3">
      <c r="B134" s="7"/>
      <c r="C134" s="7"/>
      <c r="D134" s="24"/>
    </row>
    <row r="135" spans="1:4" x14ac:dyDescent="0.3">
      <c r="B135" s="7"/>
      <c r="C135" s="7"/>
      <c r="D135" s="24"/>
    </row>
    <row r="136" spans="1:4" x14ac:dyDescent="0.3">
      <c r="B136" s="7"/>
      <c r="C136" s="7"/>
      <c r="D136" s="24"/>
    </row>
    <row r="137" spans="1:4" x14ac:dyDescent="0.3">
      <c r="B137" s="7"/>
      <c r="C137" s="7"/>
      <c r="D137" s="24"/>
    </row>
    <row r="138" spans="1:4" x14ac:dyDescent="0.3">
      <c r="B138" s="7"/>
      <c r="C138" s="7"/>
      <c r="D138" s="24"/>
    </row>
    <row r="139" spans="1:4" x14ac:dyDescent="0.3">
      <c r="B139" s="7"/>
      <c r="C139" s="7"/>
      <c r="D139" s="24"/>
    </row>
    <row r="140" spans="1:4" x14ac:dyDescent="0.3">
      <c r="A140" s="9"/>
      <c r="B140" s="4"/>
      <c r="C140" s="7"/>
      <c r="D140" s="24"/>
    </row>
    <row r="141" spans="1:4" x14ac:dyDescent="0.3">
      <c r="A141" s="9"/>
      <c r="B141" s="4"/>
      <c r="C141" s="7"/>
      <c r="D141" s="24"/>
    </row>
    <row r="142" spans="1:4" x14ac:dyDescent="0.3">
      <c r="A142" s="9"/>
      <c r="B142" s="4"/>
      <c r="C142" s="7"/>
      <c r="D142" s="24"/>
    </row>
    <row r="143" spans="1:4" x14ac:dyDescent="0.3">
      <c r="A143" s="9"/>
      <c r="B143" s="4"/>
      <c r="C143" s="7"/>
      <c r="D143" s="24"/>
    </row>
  </sheetData>
  <sheetProtection selectLockedCells="1" selectUnlockedCells="1"/>
  <pageMargins left="0.75" right="0.75" top="1" bottom="1" header="0.51180555555555551" footer="0.5118055555555555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LPE - wB97XD (2)</vt:lpstr>
      <vt:lpstr>SME - wB97XD</vt:lpstr>
      <vt:lpstr>LPE - wB97XD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Caio Firme</dc:creator>
  <cp:keywords/>
  <dc:description/>
  <cp:lastModifiedBy>Caio Firme</cp:lastModifiedBy>
  <cp:revision>3</cp:revision>
  <dcterms:created xsi:type="dcterms:W3CDTF">2017-10-23T10:15:50Z</dcterms:created>
  <dcterms:modified xsi:type="dcterms:W3CDTF">2025-03-16T17:33:36Z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1046-11.2.0.9281</vt:lpwstr>
  </property>
</Properties>
</file>