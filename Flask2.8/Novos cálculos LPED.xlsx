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showInkAnnotation="0"/>
  <mc:AlternateContent xmlns:mc="http://schemas.openxmlformats.org/markup-compatibility/2006">
    <mc:Choice Requires="x15">
      <x15ac:absPath xmlns:x15ac="http://schemas.microsoft.com/office/spreadsheetml/2010/11/ac" url="D:\Trabalhos 2020\ML-LPED\Versão-2.9-padrao\"/>
    </mc:Choice>
  </mc:AlternateContent>
  <xr:revisionPtr revIDLastSave="0" documentId="8_{88372D3A-1A4A-4FBA-9A88-25D8C5A33371}" xr6:coauthVersionLast="47" xr6:coauthVersionMax="47" xr10:uidLastSave="{00000000-0000-0000-0000-000000000000}"/>
  <bookViews>
    <workbookView xWindow="-110" yWindow="-110" windowWidth="19420" windowHeight="10300" tabRatio="706" firstSheet="1" activeTab="1" xr2:uid="{00000000-000D-0000-FFFF-FFFF00000000}"/>
  </bookViews>
  <sheets>
    <sheet name="SME - wB97XD" sheetId="5" r:id="rId1"/>
    <sheet name="LPE - wB97XD" sheetId="8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" i="8" l="1"/>
  <c r="L43" i="8"/>
  <c r="G43" i="8"/>
  <c r="D43" i="8"/>
  <c r="K42" i="8"/>
  <c r="L42" i="8"/>
  <c r="G42" i="8"/>
  <c r="D42" i="8"/>
  <c r="G41" i="8"/>
  <c r="D41" i="8"/>
  <c r="K41" i="8" s="1"/>
  <c r="G40" i="8"/>
  <c r="D40" i="8"/>
  <c r="K40" i="8" s="1"/>
  <c r="G39" i="8"/>
  <c r="D39" i="8"/>
  <c r="K39" i="8" s="1"/>
  <c r="G38" i="8"/>
  <c r="D38" i="8"/>
  <c r="K38" i="8" s="1"/>
  <c r="G37" i="8"/>
  <c r="D37" i="8"/>
  <c r="K37" i="8" s="1"/>
  <c r="G36" i="8"/>
  <c r="D36" i="8"/>
  <c r="K36" i="8" s="1"/>
  <c r="G35" i="8"/>
  <c r="D35" i="8"/>
  <c r="K35" i="8" s="1"/>
  <c r="G34" i="8"/>
  <c r="D34" i="8"/>
  <c r="K34" i="8" s="1"/>
  <c r="D33" i="8"/>
  <c r="G33" i="8"/>
  <c r="G32" i="8"/>
  <c r="D32" i="8"/>
  <c r="K32" i="8" s="1"/>
  <c r="G31" i="8"/>
  <c r="D31" i="8"/>
  <c r="K31" i="8" s="1"/>
  <c r="G30" i="8"/>
  <c r="D30" i="8"/>
  <c r="K30" i="8" s="1"/>
  <c r="G29" i="8"/>
  <c r="D29" i="8"/>
  <c r="K29" i="8" s="1"/>
  <c r="G28" i="8"/>
  <c r="D28" i="8"/>
  <c r="K28" i="8" s="1"/>
  <c r="G27" i="8"/>
  <c r="D27" i="8"/>
  <c r="K27" i="8" s="1"/>
  <c r="G26" i="8"/>
  <c r="D26" i="8"/>
  <c r="G25" i="8"/>
  <c r="D25" i="8"/>
  <c r="L25" i="8" s="1"/>
  <c r="G24" i="8"/>
  <c r="D24" i="8"/>
  <c r="G23" i="8"/>
  <c r="D23" i="8"/>
  <c r="L23" i="8" s="1"/>
  <c r="G22" i="8"/>
  <c r="D22" i="8"/>
  <c r="G21" i="8"/>
  <c r="D21" i="8"/>
  <c r="L21" i="8" s="1"/>
  <c r="G20" i="8"/>
  <c r="D20" i="8"/>
  <c r="G19" i="8"/>
  <c r="D19" i="8"/>
  <c r="L19" i="8" s="1"/>
  <c r="G18" i="8"/>
  <c r="D18" i="8"/>
  <c r="G17" i="8"/>
  <c r="D17" i="8"/>
  <c r="L17" i="8" s="1"/>
  <c r="G16" i="8"/>
  <c r="D16" i="8"/>
  <c r="L41" i="8" l="1"/>
  <c r="L34" i="8"/>
  <c r="L35" i="8"/>
  <c r="L36" i="8"/>
  <c r="L37" i="8"/>
  <c r="L38" i="8"/>
  <c r="L39" i="8"/>
  <c r="L40" i="8"/>
  <c r="L33" i="8"/>
  <c r="L16" i="8"/>
  <c r="L18" i="8"/>
  <c r="L20" i="8"/>
  <c r="L22" i="8"/>
  <c r="L24" i="8"/>
  <c r="L26" i="8"/>
  <c r="L27" i="8"/>
  <c r="L28" i="8"/>
  <c r="L29" i="8"/>
  <c r="L30" i="8"/>
  <c r="L31" i="8"/>
  <c r="L32" i="8"/>
  <c r="K33" i="8"/>
  <c r="K16" i="8"/>
  <c r="K17" i="8"/>
  <c r="K18" i="8"/>
  <c r="K19" i="8"/>
  <c r="K20" i="8"/>
  <c r="K21" i="8"/>
  <c r="K22" i="8"/>
  <c r="K23" i="8"/>
  <c r="K24" i="8"/>
  <c r="K25" i="8"/>
  <c r="K26" i="8"/>
  <c r="G15" i="8"/>
  <c r="D15" i="8"/>
  <c r="D14" i="8"/>
  <c r="G14" i="8"/>
  <c r="K14" i="8" l="1"/>
  <c r="L15" i="8"/>
  <c r="L14" i="8"/>
  <c r="K15" i="8"/>
  <c r="G5" i="8"/>
  <c r="D5" i="8"/>
  <c r="L5" i="8" s="1"/>
  <c r="G13" i="8"/>
  <c r="D13" i="8"/>
  <c r="K13" i="8" s="1"/>
  <c r="G12" i="8"/>
  <c r="D12" i="8"/>
  <c r="K12" i="8" s="1"/>
  <c r="G11" i="8"/>
  <c r="D11" i="8"/>
  <c r="K11" i="8" s="1"/>
  <c r="G10" i="8"/>
  <c r="D10" i="8"/>
  <c r="G9" i="8"/>
  <c r="D9" i="8"/>
  <c r="G8" i="8"/>
  <c r="G7" i="8"/>
  <c r="D8" i="8"/>
  <c r="D6" i="8"/>
  <c r="D7" i="8"/>
  <c r="G6" i="8"/>
  <c r="D9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71" i="5"/>
  <c r="C63" i="5"/>
  <c r="E63" i="5"/>
  <c r="B63" i="5"/>
  <c r="D63" i="5"/>
  <c r="C62" i="5"/>
  <c r="E62" i="5"/>
  <c r="B62" i="5"/>
  <c r="D62" i="5"/>
  <c r="C61" i="5"/>
  <c r="E61" i="5"/>
  <c r="B49" i="5"/>
  <c r="D49" i="5"/>
  <c r="C49" i="5"/>
  <c r="E49" i="5"/>
  <c r="B50" i="5"/>
  <c r="D50" i="5"/>
  <c r="C50" i="5"/>
  <c r="E50" i="5"/>
  <c r="B51" i="5"/>
  <c r="D51" i="5"/>
  <c r="C51" i="5"/>
  <c r="E51" i="5"/>
  <c r="C52" i="5"/>
  <c r="E52" i="5"/>
  <c r="B53" i="5"/>
  <c r="D53" i="5"/>
  <c r="C53" i="5"/>
  <c r="E53" i="5"/>
  <c r="B54" i="5"/>
  <c r="D54" i="5"/>
  <c r="C54" i="5"/>
  <c r="E54" i="5"/>
  <c r="B55" i="5"/>
  <c r="D55" i="5"/>
  <c r="C55" i="5"/>
  <c r="E55" i="5"/>
  <c r="B56" i="5"/>
  <c r="D56" i="5"/>
  <c r="C56" i="5"/>
  <c r="E56" i="5"/>
  <c r="B57" i="5"/>
  <c r="C57" i="5"/>
  <c r="E57" i="5"/>
  <c r="D57" i="5"/>
  <c r="B58" i="5"/>
  <c r="D58" i="5"/>
  <c r="C58" i="5"/>
  <c r="E58" i="5"/>
  <c r="B59" i="5"/>
  <c r="C59" i="5"/>
  <c r="E59" i="5"/>
  <c r="D59" i="5"/>
  <c r="B60" i="5"/>
  <c r="C60" i="5"/>
  <c r="E60" i="5"/>
  <c r="D60" i="5"/>
  <c r="K5" i="8" l="1"/>
  <c r="K10" i="8"/>
  <c r="K9" i="8"/>
  <c r="L9" i="8"/>
  <c r="L10" i="8"/>
  <c r="L11" i="8"/>
  <c r="L12" i="8"/>
  <c r="L13" i="8"/>
  <c r="K7" i="8"/>
  <c r="K8" i="8"/>
  <c r="L6" i="8"/>
  <c r="L7" i="8"/>
  <c r="L8" i="8"/>
  <c r="K6" i="8"/>
</calcChain>
</file>

<file path=xl/sharedStrings.xml><?xml version="1.0" encoding="utf-8"?>
<sst xmlns="http://schemas.openxmlformats.org/spreadsheetml/2006/main" count="153" uniqueCount="108">
  <si>
    <t>Molecule</t>
  </si>
  <si>
    <t>helium-diatomic</t>
  </si>
  <si>
    <t>Ar-HCl</t>
  </si>
  <si>
    <t>chloromethane-dimer</t>
  </si>
  <si>
    <t>tetrafluoromethane-dimer</t>
  </si>
  <si>
    <t>Methylether-dimer</t>
  </si>
  <si>
    <t>ethyne-water</t>
  </si>
  <si>
    <t>propane-dimer</t>
  </si>
  <si>
    <t>formaldehyde-chlorine</t>
  </si>
  <si>
    <t>propene-hydrogenchloride</t>
  </si>
  <si>
    <t>ethyne-hydrogenfluoride</t>
  </si>
  <si>
    <t>chloromethane-NaCl</t>
  </si>
  <si>
    <t>benzene-NO+</t>
  </si>
  <si>
    <t>water</t>
  </si>
  <si>
    <t>wB97X-D/aug-cc-pVTZ</t>
  </si>
  <si>
    <t>Dimer/complex</t>
  </si>
  <si>
    <t>Enthalpy (hartree)</t>
  </si>
  <si>
    <t>Electronic energy(H)</t>
  </si>
  <si>
    <t>argonium</t>
  </si>
  <si>
    <t>hydrogen chloride</t>
  </si>
  <si>
    <t xml:space="preserve">helium </t>
  </si>
  <si>
    <t>chloromethane</t>
  </si>
  <si>
    <t>ethyne</t>
  </si>
  <si>
    <t>hydrogenfluoride</t>
  </si>
  <si>
    <t xml:space="preserve">propene </t>
  </si>
  <si>
    <t xml:space="preserve">propane </t>
  </si>
  <si>
    <t>formaldehyde</t>
  </si>
  <si>
    <t xml:space="preserve">fluorine </t>
  </si>
  <si>
    <t xml:space="preserve">tetrafluoromethane </t>
  </si>
  <si>
    <t xml:space="preserve">benzene </t>
  </si>
  <si>
    <t>chlorine</t>
  </si>
  <si>
    <t>trichloroaluminum</t>
  </si>
  <si>
    <t>Methyether</t>
  </si>
  <si>
    <t>Binding energy</t>
  </si>
  <si>
    <t>Delta H (Hartree)</t>
  </si>
  <si>
    <t>Delta E(H)</t>
  </si>
  <si>
    <t>Delta H (kcal/mol)</t>
  </si>
  <si>
    <t>Delta E (kcal mol-1)</t>
  </si>
  <si>
    <t>Zeff=Z+(-1)*QA-LI</t>
  </si>
  <si>
    <t>q (1)/au</t>
  </si>
  <si>
    <t>LI (1)</t>
  </si>
  <si>
    <t>Zeff(1)</t>
  </si>
  <si>
    <t>q (2)/au</t>
  </si>
  <si>
    <t>LI (2)</t>
  </si>
  <si>
    <t>Zeff(2)</t>
  </si>
  <si>
    <t>rho bcp</t>
  </si>
  <si>
    <t>r (1-bcp) -bohr unit</t>
  </si>
  <si>
    <t>r (2-bcp) - bohr</t>
  </si>
  <si>
    <t>Local potential energy</t>
  </si>
  <si>
    <t>LPE</t>
  </si>
  <si>
    <t>benzene-dimer</t>
  </si>
  <si>
    <t>orthonitrophenol</t>
  </si>
  <si>
    <t>Magnesium-diazanide</t>
  </si>
  <si>
    <t>Magnesium-chloride</t>
  </si>
  <si>
    <t>sodium-azanide</t>
  </si>
  <si>
    <t>sodium-chloride</t>
  </si>
  <si>
    <r>
      <t>(</t>
    </r>
    <r>
      <rPr>
        <sz val="12"/>
        <color rgb="FF000000"/>
        <rFont val="Symbol"/>
        <family val="1"/>
        <charset val="2"/>
      </rPr>
      <t>w</t>
    </r>
    <r>
      <rPr>
        <sz val="12"/>
        <color rgb="FF000000"/>
        <rFont val="Times New Roman"/>
        <family val="1"/>
      </rPr>
      <t>B97XD)</t>
    </r>
    <r>
      <rPr>
        <vertAlign val="superscript"/>
        <sz val="12"/>
        <color rgb="FF000000"/>
        <rFont val="Times New Roman"/>
        <family val="1"/>
      </rPr>
      <t>a</t>
    </r>
    <r>
      <rPr>
        <sz val="12"/>
        <color rgb="FF000000"/>
        <rFont val="Times New Roman"/>
        <family val="1"/>
      </rPr>
      <t xml:space="preserve"> / </t>
    </r>
    <r>
      <rPr>
        <sz val="12"/>
        <color indexed="8"/>
        <rFont val="Times New Roman"/>
        <family val="1"/>
      </rPr>
      <t>kcal.mol</t>
    </r>
    <r>
      <rPr>
        <vertAlign val="superscript"/>
        <sz val="12"/>
        <color indexed="8"/>
        <rFont val="Times New Roman"/>
        <family val="1"/>
      </rPr>
      <t>-1</t>
    </r>
    <r>
      <rPr>
        <sz val="12"/>
        <color indexed="8"/>
        <rFont val="Times New Roman"/>
        <family val="1"/>
      </rPr>
      <t>.bohr</t>
    </r>
    <r>
      <rPr>
        <vertAlign val="superscript"/>
        <sz val="12"/>
        <color indexed="8"/>
        <rFont val="Times New Roman"/>
        <family val="1"/>
      </rPr>
      <t>-3</t>
    </r>
  </si>
  <si>
    <r>
      <t>SME (</t>
    </r>
    <r>
      <rPr>
        <sz val="12"/>
        <color rgb="FF000000"/>
        <rFont val="Symbol"/>
        <family val="1"/>
        <charset val="2"/>
      </rPr>
      <t>w</t>
    </r>
    <r>
      <rPr>
        <sz val="12"/>
        <color rgb="FF000000"/>
        <rFont val="Times New Roman"/>
        <family val="1"/>
      </rPr>
      <t>B97XD)</t>
    </r>
    <r>
      <rPr>
        <vertAlign val="superscript"/>
        <sz val="12"/>
        <color rgb="FF000000"/>
        <rFont val="Times New Roman"/>
        <family val="1"/>
      </rPr>
      <t>a</t>
    </r>
    <r>
      <rPr>
        <sz val="12"/>
        <color rgb="FF000000"/>
        <rFont val="Times New Roman"/>
        <family val="1"/>
      </rPr>
      <t xml:space="preserve"> / kcal.mol</t>
    </r>
    <r>
      <rPr>
        <vertAlign val="superscript"/>
        <sz val="12"/>
        <color rgb="FF000000"/>
        <rFont val="Times New Roman"/>
        <family val="1"/>
      </rPr>
      <t>-1</t>
    </r>
  </si>
  <si>
    <t>módulo</t>
  </si>
  <si>
    <t>diferença</t>
  </si>
  <si>
    <t>Interatomic distance</t>
  </si>
  <si>
    <t>Q1</t>
  </si>
  <si>
    <t>Q2</t>
  </si>
  <si>
    <t>N-H(methanimine-dimer)</t>
  </si>
  <si>
    <t>N-H (methanoxime-dimer)</t>
  </si>
  <si>
    <t>O-H (methanoxime-dimer)</t>
  </si>
  <si>
    <t>O-HC (DCTN)</t>
  </si>
  <si>
    <t>H-H (DCTN)</t>
  </si>
  <si>
    <t>N-Cl (ammonia-chlorine)</t>
  </si>
  <si>
    <t>O-H (oxygen-chlorine)</t>
  </si>
  <si>
    <t>O-H (hydroxy-acetaldehyde-dimer)</t>
  </si>
  <si>
    <t>N-H (methanimine dimer)</t>
  </si>
  <si>
    <t>sodium-formate (O-Na)</t>
  </si>
  <si>
    <t>O-C(formaldehyde dimer)</t>
  </si>
  <si>
    <t>O-H(formaldehydde-dimer)</t>
  </si>
  <si>
    <t>Cl-H(trimethylamine-chlorine)</t>
  </si>
  <si>
    <t>Cl-Na (methylchloride-NaCl)</t>
  </si>
  <si>
    <t>Cl-H (NaCl-methylchloride)</t>
  </si>
  <si>
    <t>N-H (ASN-Preg)</t>
  </si>
  <si>
    <t>H-H (ASN-Preg)</t>
  </si>
  <si>
    <t>O-HO (ASN-Preg)</t>
  </si>
  <si>
    <t>O-HC (ASN-Preg)</t>
  </si>
  <si>
    <t>NH-H (ARG-Preg)</t>
  </si>
  <si>
    <t>N-H (ARG-Preg)</t>
  </si>
  <si>
    <t>O-HN (Preg-ARG)</t>
  </si>
  <si>
    <t>O-H (Preg-ARG)</t>
  </si>
  <si>
    <t>Cl-Na (trimethylchloride-NaCl)</t>
  </si>
  <si>
    <t>Cl-H (NaCl-trimethylchloride)</t>
  </si>
  <si>
    <t>O-H (butanal-water)</t>
  </si>
  <si>
    <t>O-H (water-butanal)</t>
  </si>
  <si>
    <t>O-H (hydroxyacrolein)</t>
  </si>
  <si>
    <t>C-H (cisbutene-dimer)</t>
  </si>
  <si>
    <t>H-H (cisbutene-dimer)</t>
  </si>
  <si>
    <t>C-C (cisbutene-dimer)</t>
  </si>
  <si>
    <t>O-C (NO2+-benzene) (avg)</t>
  </si>
  <si>
    <t>N-H (propanenitrile-water)</t>
  </si>
  <si>
    <t>O-H (methylammonium-water)</t>
  </si>
  <si>
    <t>Otrig-H (methyl acetate-water)</t>
  </si>
  <si>
    <t>Otetr-H (methyl acetate-water)</t>
  </si>
  <si>
    <t>Otrig-H (methyl acetate-dimer) avg</t>
  </si>
  <si>
    <t>O-H (diethyl ether - water)</t>
  </si>
  <si>
    <t>O-H (2-pentanone-water)</t>
  </si>
  <si>
    <t>O-H (diethyl ether-water)</t>
  </si>
  <si>
    <t>O-HC (2-pentanone-water)</t>
  </si>
  <si>
    <t>Ctrig-Ctrig (methyl acetate-dimer)</t>
  </si>
  <si>
    <t>Otetr-Otetr (methyl acetate-dimer)</t>
  </si>
  <si>
    <r>
      <t>O-H (</t>
    </r>
    <r>
      <rPr>
        <sz val="12"/>
        <color rgb="FF000000"/>
        <rFont val="Symbol"/>
        <family val="1"/>
        <charset val="2"/>
      </rPr>
      <t>b</t>
    </r>
    <r>
      <rPr>
        <sz val="8.4"/>
        <color rgb="FF000000"/>
        <rFont val="Arial"/>
        <family val="2"/>
      </rPr>
      <t>-</t>
    </r>
    <r>
      <rPr>
        <sz val="12"/>
        <color rgb="FF000000"/>
        <rFont val="Arial"/>
        <family val="2"/>
      </rPr>
      <t>hydroxyacrolein)</t>
    </r>
  </si>
  <si>
    <t>O-C (+NO2-benzene)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</si>
</sst>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R$-416]\ #,##0.00;[Red]\-[$R$-416]\ #,##0.00"/>
    <numFmt numFmtId="165" formatCode="0.00_ "/>
    <numFmt numFmtId="166" formatCode="0.0000_ "/>
    <numFmt numFmtId="167" formatCode="0.0000"/>
    <numFmt numFmtId="168" formatCode="0.000_ "/>
    <numFmt numFmtId="169" formatCode="0.000E+00"/>
    <numFmt numFmtId="170" formatCode="0.000"/>
  </numFmts>
  <fonts count="21" x14ac:knownFonts="1"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indexed="10"/>
      <name val="Arial"/>
      <family val="2"/>
    </font>
    <font>
      <sz val="11"/>
      <color indexed="10"/>
      <name val="Arial"/>
      <family val="2"/>
    </font>
    <font>
      <b/>
      <i/>
      <sz val="16"/>
      <color indexed="8"/>
      <name val="Arial"/>
      <family val="2"/>
    </font>
    <font>
      <b/>
      <i/>
      <u/>
      <sz val="11"/>
      <color indexed="8"/>
      <name val="Arial"/>
      <family val="2"/>
    </font>
    <font>
      <sz val="12"/>
      <color indexed="8"/>
      <name val="Times New Roman"/>
      <family val="1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sz val="12"/>
      <color rgb="FF000000"/>
      <name val="Times New Roman"/>
      <family val="1"/>
    </font>
    <font>
      <sz val="12"/>
      <color rgb="FF000000"/>
      <name val="Symbol"/>
      <family val="1"/>
      <charset val="2"/>
    </font>
    <font>
      <vertAlign val="superscript"/>
      <sz val="12"/>
      <color rgb="FF000000"/>
      <name val="Times New Roman"/>
      <family val="1"/>
    </font>
    <font>
      <vertAlign val="superscript"/>
      <sz val="12"/>
      <color indexed="8"/>
      <name val="Times New Roman"/>
      <family val="1"/>
    </font>
    <font>
      <b/>
      <sz val="11"/>
      <color rgb="FF000000"/>
      <name val="Arial"/>
      <family val="2"/>
    </font>
    <font>
      <sz val="12"/>
      <color indexed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1"/>
      <name val="Arial"/>
      <family val="2"/>
    </font>
    <font>
      <sz val="8.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4" fillId="0" borderId="0">
      <alignment horizontal="center"/>
    </xf>
    <xf numFmtId="0" fontId="4" fillId="0" borderId="0">
      <alignment horizontal="center" textRotation="90"/>
    </xf>
    <xf numFmtId="0" fontId="5" fillId="0" borderId="0"/>
    <xf numFmtId="164" fontId="5" fillId="0" borderId="0"/>
  </cellStyleXfs>
  <cellXfs count="62">
    <xf numFmtId="0" fontId="0" fillId="0" borderId="0" xfId="0"/>
    <xf numFmtId="0" fontId="1" fillId="0" borderId="0" xfId="0" applyFon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1" fillId="0" borderId="0" xfId="0" applyNumberFormat="1" applyFont="1"/>
    <xf numFmtId="165" fontId="1" fillId="0" borderId="0" xfId="0" applyNumberFormat="1" applyFont="1"/>
    <xf numFmtId="167" fontId="0" fillId="0" borderId="0" xfId="0" applyNumberFormat="1"/>
    <xf numFmtId="0" fontId="2" fillId="0" borderId="0" xfId="0" applyFont="1"/>
    <xf numFmtId="0" fontId="7" fillId="0" borderId="0" xfId="0" applyFont="1"/>
    <xf numFmtId="2" fontId="7" fillId="0" borderId="0" xfId="0" applyNumberFormat="1" applyFont="1"/>
    <xf numFmtId="165" fontId="3" fillId="0" borderId="0" xfId="0" applyNumberFormat="1" applyFont="1"/>
    <xf numFmtId="168" fontId="0" fillId="0" borderId="0" xfId="0" applyNumberFormat="1"/>
    <xf numFmtId="0" fontId="8" fillId="0" borderId="0" xfId="0" applyFont="1"/>
    <xf numFmtId="0" fontId="9" fillId="0" borderId="0" xfId="0" applyFont="1"/>
    <xf numFmtId="167" fontId="7" fillId="0" borderId="0" xfId="0" applyNumberFormat="1" applyFont="1"/>
    <xf numFmtId="165" fontId="9" fillId="0" borderId="0" xfId="0" applyNumberFormat="1" applyFont="1"/>
    <xf numFmtId="2" fontId="9" fillId="0" borderId="0" xfId="0" applyNumberFormat="1" applyFont="1"/>
    <xf numFmtId="0" fontId="10" fillId="0" borderId="1" xfId="0" applyFont="1" applyBorder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0" fillId="0" borderId="2" xfId="0" applyFont="1" applyBorder="1" applyAlignment="1">
      <alignment horizontal="right" vertical="center"/>
    </xf>
    <xf numFmtId="169" fontId="0" fillId="0" borderId="0" xfId="0" applyNumberFormat="1"/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4" fillId="0" borderId="0" xfId="0" applyFont="1"/>
    <xf numFmtId="0" fontId="10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1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70" fontId="0" fillId="0" borderId="0" xfId="0" applyNumberFormat="1"/>
    <xf numFmtId="0" fontId="10" fillId="0" borderId="0" xfId="0" applyFont="1" applyAlignment="1">
      <alignment horizontal="right" vertical="center" wrapText="1"/>
    </xf>
    <xf numFmtId="0" fontId="15" fillId="0" borderId="0" xfId="0" applyFont="1" applyAlignment="1">
      <alignment horizontal="left"/>
    </xf>
    <xf numFmtId="170" fontId="15" fillId="0" borderId="0" xfId="0" applyNumberFormat="1" applyFont="1"/>
    <xf numFmtId="168" fontId="15" fillId="0" borderId="0" xfId="0" applyNumberFormat="1" applyFont="1"/>
    <xf numFmtId="166" fontId="15" fillId="0" borderId="0" xfId="0" applyNumberFormat="1" applyFont="1"/>
    <xf numFmtId="165" fontId="15" fillId="0" borderId="0" xfId="0" applyNumberFormat="1" applyFont="1"/>
    <xf numFmtId="0" fontId="16" fillId="0" borderId="0" xfId="0" applyFont="1" applyAlignment="1">
      <alignment horizontal="left" vertical="center" wrapText="1"/>
    </xf>
    <xf numFmtId="170" fontId="16" fillId="0" borderId="0" xfId="0" applyNumberFormat="1" applyFont="1" applyAlignment="1">
      <alignment horizontal="right" wrapText="1"/>
    </xf>
    <xf numFmtId="170" fontId="16" fillId="0" borderId="0" xfId="0" applyNumberFormat="1" applyFont="1" applyAlignment="1">
      <alignment horizontal="right" vertical="center" wrapText="1"/>
    </xf>
    <xf numFmtId="170" fontId="15" fillId="0" borderId="0" xfId="0" applyNumberFormat="1" applyFont="1" applyAlignment="1">
      <alignment horizontal="right"/>
    </xf>
    <xf numFmtId="168" fontId="15" fillId="0" borderId="0" xfId="0" applyNumberFormat="1" applyFont="1" applyAlignment="1">
      <alignment horizontal="right"/>
    </xf>
    <xf numFmtId="166" fontId="15" fillId="0" borderId="0" xfId="0" applyNumberFormat="1" applyFont="1" applyAlignment="1">
      <alignment horizontal="right"/>
    </xf>
    <xf numFmtId="165" fontId="15" fillId="0" borderId="0" xfId="0" applyNumberFormat="1" applyFont="1" applyAlignment="1">
      <alignment horizontal="right"/>
    </xf>
    <xf numFmtId="0" fontId="17" fillId="0" borderId="0" xfId="0" applyFont="1" applyAlignment="1">
      <alignment horizontal="left"/>
    </xf>
    <xf numFmtId="170" fontId="17" fillId="0" borderId="0" xfId="0" applyNumberFormat="1" applyFont="1" applyAlignment="1">
      <alignment horizontal="right"/>
    </xf>
    <xf numFmtId="168" fontId="17" fillId="0" borderId="0" xfId="0" applyNumberFormat="1" applyFont="1" applyAlignment="1">
      <alignment horizontal="right"/>
    </xf>
    <xf numFmtId="166" fontId="17" fillId="0" borderId="0" xfId="0" applyNumberFormat="1" applyFont="1" applyAlignment="1">
      <alignment horizontal="right"/>
    </xf>
    <xf numFmtId="2" fontId="17" fillId="0" borderId="0" xfId="0" applyNumberFormat="1" applyFont="1" applyAlignment="1">
      <alignment horizontal="right"/>
    </xf>
    <xf numFmtId="170" fontId="17" fillId="0" borderId="0" xfId="0" applyNumberFormat="1" applyFont="1"/>
    <xf numFmtId="168" fontId="17" fillId="0" borderId="0" xfId="0" applyNumberFormat="1" applyFont="1"/>
    <xf numFmtId="0" fontId="15" fillId="0" borderId="0" xfId="0" applyFont="1"/>
    <xf numFmtId="0" fontId="17" fillId="0" borderId="0" xfId="0" applyFont="1"/>
    <xf numFmtId="168" fontId="18" fillId="0" borderId="0" xfId="0" applyNumberFormat="1" applyFont="1"/>
    <xf numFmtId="2" fontId="17" fillId="0" borderId="0" xfId="0" applyNumberFormat="1" applyFont="1"/>
    <xf numFmtId="0" fontId="16" fillId="0" borderId="0" xfId="0" applyFont="1" applyAlignment="1">
      <alignment horizontal="right" vertical="center" wrapText="1"/>
    </xf>
    <xf numFmtId="0" fontId="19" fillId="0" borderId="0" xfId="0" applyFont="1" applyAlignment="1">
      <alignment horizontal="left"/>
    </xf>
    <xf numFmtId="170" fontId="7" fillId="0" borderId="0" xfId="0" applyNumberFormat="1" applyFont="1"/>
    <xf numFmtId="0" fontId="19" fillId="0" borderId="0" xfId="0" applyFont="1"/>
    <xf numFmtId="170" fontId="19" fillId="0" borderId="0" xfId="0" applyNumberFormat="1" applyFont="1"/>
  </cellXfs>
  <cellStyles count="5">
    <cellStyle name="Heading 1" xfId="1" xr:uid="{00000000-0005-0000-0000-000000000000}"/>
    <cellStyle name="Heading1 1" xfId="2" xr:uid="{00000000-0005-0000-0000-000001000000}"/>
    <cellStyle name="Normal" xfId="0" builtinId="0"/>
    <cellStyle name="Result 1" xfId="3" xr:uid="{00000000-0005-0000-0000-000003000000}"/>
    <cellStyle name="Result2 1" xfId="4" xr:uid="{00000000-0005-0000-0000-000004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64A2"/>
      <rgbColor rgb="009999FF"/>
      <rgbColor rgb="00C0504D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F81BD"/>
      <rgbColor rgb="004BACC6"/>
      <rgbColor rgb="009BBB59"/>
      <rgbColor rgb="00FFCC00"/>
      <rgbColor rgb="00F79646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topLeftCell="A60" zoomScale="70" zoomScaleNormal="70" zoomScaleSheetLayoutView="100" workbookViewId="0">
      <selection activeCell="D91" sqref="D91"/>
    </sheetView>
  </sheetViews>
  <sheetFormatPr defaultRowHeight="14" x14ac:dyDescent="0.3"/>
  <cols>
    <col min="1" max="1" width="29.6640625" customWidth="1"/>
    <col min="2" max="2" width="18.9140625" customWidth="1"/>
    <col min="3" max="3" width="18.08203125" customWidth="1"/>
    <col min="4" max="4" width="13.83203125" customWidth="1"/>
    <col min="5" max="5" width="16.1640625" customWidth="1"/>
  </cols>
  <sheetData>
    <row r="1" spans="1:3" x14ac:dyDescent="0.3">
      <c r="B1" s="13" t="s">
        <v>14</v>
      </c>
    </row>
    <row r="2" spans="1:3" x14ac:dyDescent="0.3">
      <c r="A2" s="1" t="s">
        <v>15</v>
      </c>
      <c r="B2" s="1" t="s">
        <v>16</v>
      </c>
      <c r="C2" s="1" t="s">
        <v>17</v>
      </c>
    </row>
    <row r="3" spans="1:3" x14ac:dyDescent="0.3">
      <c r="A3" t="s">
        <v>2</v>
      </c>
      <c r="B3">
        <v>-988.35919999999999</v>
      </c>
      <c r="C3">
        <v>-988.37180000000001</v>
      </c>
    </row>
    <row r="4" spans="1:3" x14ac:dyDescent="0.3">
      <c r="A4" t="s">
        <v>1</v>
      </c>
      <c r="B4" s="7">
        <v>-5.8137999999999996</v>
      </c>
      <c r="C4">
        <v>-5.8179999999999996</v>
      </c>
    </row>
    <row r="5" spans="1:3" x14ac:dyDescent="0.3">
      <c r="A5" t="s">
        <v>3</v>
      </c>
      <c r="B5">
        <v>-1000.1821</v>
      </c>
      <c r="C5">
        <v>-1000.2671</v>
      </c>
    </row>
    <row r="6" spans="1:3" x14ac:dyDescent="0.3">
      <c r="A6" t="s">
        <v>10</v>
      </c>
      <c r="B6">
        <v>-177.75190000000001</v>
      </c>
      <c r="C6">
        <v>-177.79679999999999</v>
      </c>
    </row>
    <row r="7" spans="1:3" x14ac:dyDescent="0.3">
      <c r="A7" t="s">
        <v>6</v>
      </c>
      <c r="B7">
        <v>-153.71420000000001</v>
      </c>
      <c r="C7">
        <v>-153.7722</v>
      </c>
    </row>
    <row r="8" spans="1:3" x14ac:dyDescent="0.3">
      <c r="A8" t="s">
        <v>9</v>
      </c>
      <c r="B8">
        <v>-578.64570000000003</v>
      </c>
      <c r="C8">
        <v>-578.74260000000004</v>
      </c>
    </row>
    <row r="9" spans="1:3" x14ac:dyDescent="0.3">
      <c r="A9" t="s">
        <v>7</v>
      </c>
      <c r="B9">
        <v>-238.0789</v>
      </c>
      <c r="C9">
        <v>-238.3006</v>
      </c>
    </row>
    <row r="10" spans="1:3" x14ac:dyDescent="0.3">
      <c r="A10" t="s">
        <v>8</v>
      </c>
      <c r="B10">
        <v>-1034.874</v>
      </c>
      <c r="C10">
        <v>-1034.9112</v>
      </c>
    </row>
    <row r="11" spans="1:3" x14ac:dyDescent="0.3">
      <c r="A11" s="14" t="s">
        <v>4</v>
      </c>
      <c r="B11" s="9"/>
      <c r="C11" s="14">
        <v>-875.10019999999997</v>
      </c>
    </row>
    <row r="23" spans="1:3" x14ac:dyDescent="0.3">
      <c r="A23" s="1" t="s">
        <v>0</v>
      </c>
    </row>
    <row r="24" spans="1:3" x14ac:dyDescent="0.3">
      <c r="A24" t="s">
        <v>18</v>
      </c>
      <c r="B24" s="7">
        <v>-527.54319999999996</v>
      </c>
      <c r="C24">
        <v>-527.54560000000004</v>
      </c>
    </row>
    <row r="25" spans="1:3" x14ac:dyDescent="0.3">
      <c r="A25" t="s">
        <v>19</v>
      </c>
      <c r="B25" s="7">
        <v>-460.81580000000002</v>
      </c>
      <c r="C25">
        <v>-460.82589999999999</v>
      </c>
    </row>
    <row r="26" spans="1:3" x14ac:dyDescent="0.3">
      <c r="A26" t="s">
        <v>20</v>
      </c>
      <c r="B26">
        <v>-2.9066000000000001</v>
      </c>
      <c r="C26">
        <v>-2.9089999999999998</v>
      </c>
    </row>
    <row r="27" spans="1:3" x14ac:dyDescent="0.3">
      <c r="A27" t="s">
        <v>21</v>
      </c>
      <c r="B27" s="7">
        <v>-500.09059999999999</v>
      </c>
      <c r="C27">
        <v>-500.13249999999999</v>
      </c>
    </row>
    <row r="28" spans="1:3" x14ac:dyDescent="0.3">
      <c r="A28" t="s">
        <v>22</v>
      </c>
      <c r="B28" s="7">
        <v>-77.298400000000001</v>
      </c>
      <c r="C28">
        <v>-77.327799999999996</v>
      </c>
    </row>
    <row r="29" spans="1:3" x14ac:dyDescent="0.3">
      <c r="A29" t="s">
        <v>23</v>
      </c>
      <c r="B29" s="7">
        <v>-100.4486</v>
      </c>
      <c r="C29">
        <v>-100.46129999999999</v>
      </c>
    </row>
    <row r="30" spans="1:3" x14ac:dyDescent="0.3">
      <c r="A30" t="s">
        <v>13</v>
      </c>
      <c r="B30" s="7">
        <v>-76.414500000000004</v>
      </c>
      <c r="C30">
        <v>-76.439899999999994</v>
      </c>
    </row>
    <row r="31" spans="1:3" x14ac:dyDescent="0.3">
      <c r="A31" t="s">
        <v>24</v>
      </c>
      <c r="B31" s="7">
        <v>-117.8248</v>
      </c>
      <c r="C31">
        <v>-117.9098</v>
      </c>
    </row>
    <row r="32" spans="1:3" x14ac:dyDescent="0.3">
      <c r="A32" t="s">
        <v>25</v>
      </c>
      <c r="B32" s="7">
        <v>-119.04</v>
      </c>
      <c r="C32">
        <v>-119.14919999999999</v>
      </c>
    </row>
    <row r="33" spans="1:5" x14ac:dyDescent="0.3">
      <c r="A33" t="s">
        <v>26</v>
      </c>
      <c r="B33" s="7">
        <v>-114.4786</v>
      </c>
      <c r="C33">
        <v>-114.50920000000001</v>
      </c>
    </row>
    <row r="34" spans="1:5" x14ac:dyDescent="0.3">
      <c r="A34" t="s">
        <v>27</v>
      </c>
      <c r="B34" s="7">
        <v>-199.52690000000001</v>
      </c>
      <c r="C34">
        <v>-199.53270000000001</v>
      </c>
    </row>
    <row r="35" spans="1:5" x14ac:dyDescent="0.3">
      <c r="A35" t="s">
        <v>28</v>
      </c>
      <c r="B35" s="7">
        <v>-437.5274</v>
      </c>
      <c r="C35">
        <v>-437.54939999999999</v>
      </c>
    </row>
    <row r="36" spans="1:5" x14ac:dyDescent="0.3">
      <c r="A36" t="s">
        <v>29</v>
      </c>
      <c r="B36" s="7">
        <v>-232.13720000000001</v>
      </c>
      <c r="C36">
        <v>-232.24379999999999</v>
      </c>
    </row>
    <row r="37" spans="1:5" x14ac:dyDescent="0.3">
      <c r="B37" s="7"/>
    </row>
    <row r="38" spans="1:5" x14ac:dyDescent="0.3">
      <c r="A38" t="s">
        <v>30</v>
      </c>
      <c r="B38">
        <v>-920.39589999999998</v>
      </c>
      <c r="C38">
        <v>-920.40070000000003</v>
      </c>
    </row>
    <row r="39" spans="1:5" x14ac:dyDescent="0.3">
      <c r="A39" t="s">
        <v>31</v>
      </c>
      <c r="B39">
        <v>-1623.2935</v>
      </c>
      <c r="C39">
        <v>-1623.2835</v>
      </c>
    </row>
    <row r="40" spans="1:5" x14ac:dyDescent="0.3">
      <c r="B40" s="7"/>
    </row>
    <row r="41" spans="1:5" x14ac:dyDescent="0.3">
      <c r="A41" t="s">
        <v>32</v>
      </c>
      <c r="B41">
        <v>-154.95169999999999</v>
      </c>
      <c r="C41">
        <v>-155.0369</v>
      </c>
    </row>
    <row r="42" spans="1:5" x14ac:dyDescent="0.3">
      <c r="A42" t="s">
        <v>53</v>
      </c>
      <c r="B42">
        <v>-1120.6657</v>
      </c>
      <c r="C42">
        <v>-1120.6736000000001</v>
      </c>
    </row>
    <row r="43" spans="1:5" x14ac:dyDescent="0.3">
      <c r="A43" t="s">
        <v>54</v>
      </c>
      <c r="B43">
        <v>-218.20679999999999</v>
      </c>
      <c r="C43">
        <v>-218.2338</v>
      </c>
    </row>
    <row r="44" spans="1:5" x14ac:dyDescent="0.3">
      <c r="A44" t="s">
        <v>52</v>
      </c>
      <c r="B44">
        <v>-311.9862</v>
      </c>
      <c r="C44">
        <v>-312.04169999999999</v>
      </c>
    </row>
    <row r="45" spans="1:5" x14ac:dyDescent="0.3">
      <c r="A45" t="s">
        <v>55</v>
      </c>
      <c r="B45">
        <v>-622.57650000000001</v>
      </c>
      <c r="C45">
        <v>-622.58090000000004</v>
      </c>
    </row>
    <row r="48" spans="1:5" x14ac:dyDescent="0.3">
      <c r="A48" s="1" t="s">
        <v>33</v>
      </c>
      <c r="B48" s="1" t="s">
        <v>34</v>
      </c>
      <c r="C48" t="s">
        <v>35</v>
      </c>
      <c r="D48" t="s">
        <v>36</v>
      </c>
      <c r="E48" t="s">
        <v>37</v>
      </c>
    </row>
    <row r="49" spans="1:5" x14ac:dyDescent="0.3">
      <c r="A49" t="s">
        <v>1</v>
      </c>
      <c r="B49">
        <f>B4-(2*B26)</f>
        <v>-5.9999999999948983E-4</v>
      </c>
      <c r="C49">
        <f>C4-(2*C26)</f>
        <v>0</v>
      </c>
      <c r="D49" s="3">
        <f t="shared" ref="D49:E51" si="0">B49*627.51</f>
        <v>-0.37650599999967987</v>
      </c>
      <c r="E49" s="2">
        <f t="shared" si="0"/>
        <v>0</v>
      </c>
    </row>
    <row r="50" spans="1:5" x14ac:dyDescent="0.3">
      <c r="A50" t="s">
        <v>2</v>
      </c>
      <c r="B50">
        <f>B3-(B24+B25)</f>
        <v>-2.0000000006348273E-4</v>
      </c>
      <c r="C50">
        <f>C3-(C24+C25)</f>
        <v>-3.0000000003838068E-4</v>
      </c>
      <c r="D50" s="3">
        <f t="shared" si="0"/>
        <v>-0.12550200003983605</v>
      </c>
      <c r="E50" s="2">
        <f t="shared" si="0"/>
        <v>-0.18825300002408427</v>
      </c>
    </row>
    <row r="51" spans="1:5" x14ac:dyDescent="0.3">
      <c r="A51" t="s">
        <v>3</v>
      </c>
      <c r="B51">
        <f>B5-(2*B27)</f>
        <v>-9.0000000000145519E-4</v>
      </c>
      <c r="C51">
        <f>C5-(2*C27)</f>
        <v>-2.1000000000412911E-3</v>
      </c>
      <c r="D51" s="3">
        <f t="shared" si="0"/>
        <v>-0.56475900000091317</v>
      </c>
      <c r="E51" s="2">
        <f t="shared" si="0"/>
        <v>-1.3177710000259106</v>
      </c>
    </row>
    <row r="52" spans="1:5" x14ac:dyDescent="0.3">
      <c r="A52" s="14" t="s">
        <v>4</v>
      </c>
      <c r="B52" s="15"/>
      <c r="C52">
        <f>C11-(2*C35)</f>
        <v>-1.3999999999896318E-3</v>
      </c>
      <c r="D52" s="16"/>
      <c r="E52" s="17">
        <f t="shared" ref="E52:E62" si="1">C52*627.51</f>
        <v>-0.87851399999349378</v>
      </c>
    </row>
    <row r="53" spans="1:5" x14ac:dyDescent="0.3">
      <c r="A53" t="s">
        <v>11</v>
      </c>
      <c r="B53" s="7">
        <f>B15-(B40+B27)</f>
        <v>500.09059999999999</v>
      </c>
      <c r="C53">
        <f>C15-(C40+C27)</f>
        <v>500.13249999999999</v>
      </c>
      <c r="D53">
        <f t="shared" ref="D53:E63" si="2">B53*627.51</f>
        <v>313811.85240600002</v>
      </c>
      <c r="E53" s="2">
        <f t="shared" si="1"/>
        <v>313838.14507500001</v>
      </c>
    </row>
    <row r="54" spans="1:5" x14ac:dyDescent="0.3">
      <c r="A54" t="s">
        <v>5</v>
      </c>
      <c r="B54">
        <f>B16-(2*B41)</f>
        <v>309.90339999999998</v>
      </c>
      <c r="C54">
        <f>C16-(2*C41)</f>
        <v>310.07380000000001</v>
      </c>
      <c r="D54">
        <f t="shared" si="2"/>
        <v>194467.48253399998</v>
      </c>
      <c r="E54" s="2">
        <f t="shared" si="1"/>
        <v>194574.41023800001</v>
      </c>
    </row>
    <row r="55" spans="1:5" x14ac:dyDescent="0.3">
      <c r="A55" t="s">
        <v>6</v>
      </c>
      <c r="B55">
        <f>B7-(B28+B30)</f>
        <v>-1.3000000000147338E-3</v>
      </c>
      <c r="C55">
        <f>C7-(C28+C30)</f>
        <v>-4.500000000007276E-3</v>
      </c>
      <c r="D55" s="3">
        <f t="shared" si="2"/>
        <v>-0.81576300000924562</v>
      </c>
      <c r="E55" s="2">
        <f t="shared" si="1"/>
        <v>-2.8237950000045657</v>
      </c>
    </row>
    <row r="56" spans="1:5" x14ac:dyDescent="0.3">
      <c r="A56" t="s">
        <v>7</v>
      </c>
      <c r="B56">
        <f>B9-(2*B32)</f>
        <v>1.1000000000080945E-3</v>
      </c>
      <c r="C56">
        <f>C9-(2*C32)</f>
        <v>-2.200000000016189E-3</v>
      </c>
      <c r="D56" s="3">
        <f t="shared" si="2"/>
        <v>0.69026100000507939</v>
      </c>
      <c r="E56" s="2">
        <f t="shared" si="1"/>
        <v>-1.3805220000101588</v>
      </c>
    </row>
    <row r="57" spans="1:5" x14ac:dyDescent="0.3">
      <c r="A57" t="s">
        <v>8</v>
      </c>
      <c r="B57" s="7">
        <f>B10-(B33+B38)</f>
        <v>4.9999999987448973E-4</v>
      </c>
      <c r="C57" s="7">
        <f>C10-(C33+C38)</f>
        <v>-1.299999999901047E-3</v>
      </c>
      <c r="D57" s="3">
        <f t="shared" si="2"/>
        <v>0.31375499992124106</v>
      </c>
      <c r="E57" s="2">
        <f t="shared" si="1"/>
        <v>-0.81576299993790602</v>
      </c>
    </row>
    <row r="58" spans="1:5" x14ac:dyDescent="0.3">
      <c r="A58" t="s">
        <v>12</v>
      </c>
      <c r="B58">
        <f>B12-(B36+B37)</f>
        <v>232.13720000000001</v>
      </c>
      <c r="C58">
        <f>C12-(C36+C37)</f>
        <v>232.24379999999999</v>
      </c>
      <c r="D58" s="3">
        <f t="shared" si="2"/>
        <v>145668.414372</v>
      </c>
      <c r="E58" s="2">
        <f t="shared" si="1"/>
        <v>145735.30693799999</v>
      </c>
    </row>
    <row r="59" spans="1:5" x14ac:dyDescent="0.3">
      <c r="A59" t="s">
        <v>9</v>
      </c>
      <c r="B59">
        <f>B8-(B31+B25)</f>
        <v>-5.0999999999703505E-3</v>
      </c>
      <c r="C59">
        <f>C8-(C31+C25)</f>
        <v>-6.9000000000869477E-3</v>
      </c>
      <c r="D59" s="3">
        <f t="shared" si="2"/>
        <v>-3.2003009999813945</v>
      </c>
      <c r="E59" s="2">
        <f t="shared" si="1"/>
        <v>-4.3298190000545604</v>
      </c>
    </row>
    <row r="60" spans="1:5" x14ac:dyDescent="0.3">
      <c r="A60" t="s">
        <v>10</v>
      </c>
      <c r="B60">
        <f>B6-(B29+B28)</f>
        <v>-4.8999999999921329E-3</v>
      </c>
      <c r="C60">
        <f>C6-(C29+C28)</f>
        <v>-7.6999999999998181E-3</v>
      </c>
      <c r="D60" s="3">
        <f t="shared" si="2"/>
        <v>-3.0747989999950631</v>
      </c>
      <c r="E60" s="2">
        <f t="shared" si="1"/>
        <v>-4.831826999999886</v>
      </c>
    </row>
    <row r="61" spans="1:5" x14ac:dyDescent="0.3">
      <c r="A61" t="s">
        <v>50</v>
      </c>
      <c r="C61">
        <f>C17-(2*C36)</f>
        <v>464.48759999999999</v>
      </c>
      <c r="D61" s="3"/>
      <c r="E61" s="2">
        <f t="shared" si="1"/>
        <v>291470.61387599999</v>
      </c>
    </row>
    <row r="62" spans="1:5" x14ac:dyDescent="0.3">
      <c r="A62" t="s">
        <v>51</v>
      </c>
      <c r="B62">
        <f>C42-B43</f>
        <v>-902.46680000000015</v>
      </c>
      <c r="C62" t="e">
        <f>#REF!-C43</f>
        <v>#REF!</v>
      </c>
      <c r="D62" s="3">
        <f t="shared" si="2"/>
        <v>-566306.94166800007</v>
      </c>
      <c r="E62" s="2" t="e">
        <f t="shared" si="1"/>
        <v>#REF!</v>
      </c>
    </row>
    <row r="63" spans="1:5" x14ac:dyDescent="0.3">
      <c r="A63" t="s">
        <v>52</v>
      </c>
      <c r="B63">
        <f>(B44+2*B45)-(2*B43+B42)</f>
        <v>-5.9900000000197906E-2</v>
      </c>
      <c r="C63">
        <f>(C44+2*C45)-(2*C43+C42)</f>
        <v>-6.2300000000050204E-2</v>
      </c>
      <c r="D63" s="3">
        <f t="shared" si="2"/>
        <v>-37.587849000124187</v>
      </c>
      <c r="E63" s="3">
        <f t="shared" si="2"/>
        <v>-39.0938730000315</v>
      </c>
    </row>
    <row r="64" spans="1:5" x14ac:dyDescent="0.3">
      <c r="D64" s="3"/>
      <c r="E64" s="2"/>
    </row>
    <row r="66" spans="1:4" x14ac:dyDescent="0.3">
      <c r="A66" s="1"/>
    </row>
    <row r="67" spans="1:4" x14ac:dyDescent="0.3">
      <c r="B67" s="2"/>
    </row>
    <row r="68" spans="1:4" ht="14.5" thickBot="1" x14ac:dyDescent="0.35">
      <c r="B68" s="2"/>
    </row>
    <row r="69" spans="1:4" ht="16" thickBot="1" x14ac:dyDescent="0.35">
      <c r="B69" s="22" t="s">
        <v>49</v>
      </c>
    </row>
    <row r="70" spans="1:4" ht="37.5" thickBot="1" x14ac:dyDescent="0.35">
      <c r="A70" s="25" t="s">
        <v>57</v>
      </c>
      <c r="B70" s="24" t="s">
        <v>56</v>
      </c>
      <c r="C70" t="s">
        <v>59</v>
      </c>
      <c r="D70" t="s">
        <v>58</v>
      </c>
    </row>
    <row r="71" spans="1:4" ht="15.5" x14ac:dyDescent="0.3">
      <c r="A71" s="23">
        <v>-0.19</v>
      </c>
      <c r="B71" s="23">
        <v>-0.06</v>
      </c>
      <c r="C71">
        <f>B71-A71</f>
        <v>0.13</v>
      </c>
      <c r="D71">
        <f>ABS(C71)</f>
        <v>0.13</v>
      </c>
    </row>
    <row r="72" spans="1:4" ht="15.5" x14ac:dyDescent="0.3">
      <c r="A72" s="23">
        <v>-1.32</v>
      </c>
      <c r="B72" s="23">
        <v>-1.44</v>
      </c>
      <c r="C72">
        <f t="shared" ref="C72:C90" si="3">B72-A72</f>
        <v>-0.11999999999999988</v>
      </c>
      <c r="D72">
        <f t="shared" ref="D72:D90" si="4">ABS(C72)</f>
        <v>0.11999999999999988</v>
      </c>
    </row>
    <row r="73" spans="1:4" ht="15.5" x14ac:dyDescent="0.3">
      <c r="A73" s="23">
        <v>-0.88</v>
      </c>
      <c r="B73" s="23">
        <v>-1.17</v>
      </c>
      <c r="C73">
        <f t="shared" si="3"/>
        <v>-0.28999999999999992</v>
      </c>
      <c r="D73">
        <f t="shared" si="4"/>
        <v>0.28999999999999992</v>
      </c>
    </row>
    <row r="74" spans="1:4" ht="15.5" x14ac:dyDescent="0.3">
      <c r="A74" s="23">
        <v>-3.51</v>
      </c>
      <c r="B74" s="23">
        <v>-3.08</v>
      </c>
      <c r="C74">
        <f t="shared" si="3"/>
        <v>0.42999999999999972</v>
      </c>
      <c r="D74">
        <f t="shared" si="4"/>
        <v>0.42999999999999972</v>
      </c>
    </row>
    <row r="75" spans="1:4" ht="15.5" x14ac:dyDescent="0.3">
      <c r="A75" s="23">
        <v>-0.82</v>
      </c>
      <c r="B75" s="23">
        <v>-1.4</v>
      </c>
      <c r="C75">
        <f t="shared" si="3"/>
        <v>-0.57999999999999996</v>
      </c>
      <c r="D75">
        <f t="shared" si="4"/>
        <v>0.57999999999999996</v>
      </c>
    </row>
    <row r="76" spans="1:4" ht="15.5" x14ac:dyDescent="0.3">
      <c r="A76" s="23">
        <v>-2.82</v>
      </c>
      <c r="B76" s="23">
        <v>-2.7</v>
      </c>
      <c r="C76">
        <f t="shared" si="3"/>
        <v>0.11999999999999966</v>
      </c>
      <c r="D76">
        <f t="shared" si="4"/>
        <v>0.11999999999999966</v>
      </c>
    </row>
    <row r="77" spans="1:4" ht="15.5" x14ac:dyDescent="0.3">
      <c r="A77" s="23">
        <v>-1.38</v>
      </c>
      <c r="B77" s="23">
        <v>-2.17</v>
      </c>
      <c r="C77">
        <f t="shared" si="3"/>
        <v>-0.79</v>
      </c>
      <c r="D77">
        <f t="shared" si="4"/>
        <v>0.79</v>
      </c>
    </row>
    <row r="78" spans="1:4" ht="15.5" x14ac:dyDescent="0.3">
      <c r="A78" s="23">
        <v>-3.45</v>
      </c>
      <c r="B78" s="23">
        <v>-3.53</v>
      </c>
      <c r="C78">
        <f t="shared" si="3"/>
        <v>-7.9999999999999627E-2</v>
      </c>
      <c r="D78">
        <f t="shared" si="4"/>
        <v>7.9999999999999627E-2</v>
      </c>
    </row>
    <row r="79" spans="1:4" ht="15.5" x14ac:dyDescent="0.3">
      <c r="A79" s="23">
        <v>-10.48</v>
      </c>
      <c r="B79" s="23">
        <v>-11.71</v>
      </c>
      <c r="C79">
        <f t="shared" si="3"/>
        <v>-1.2300000000000004</v>
      </c>
      <c r="D79">
        <f t="shared" si="4"/>
        <v>1.2300000000000004</v>
      </c>
    </row>
    <row r="80" spans="1:4" ht="15.5" x14ac:dyDescent="0.3">
      <c r="A80" s="23">
        <v>-23.59</v>
      </c>
      <c r="B80" s="23">
        <v>-21.84</v>
      </c>
      <c r="C80">
        <f t="shared" si="3"/>
        <v>1.75</v>
      </c>
      <c r="D80">
        <f t="shared" si="4"/>
        <v>1.75</v>
      </c>
    </row>
    <row r="81" spans="1:4" ht="15.5" x14ac:dyDescent="0.3">
      <c r="A81" s="23">
        <v>-5.21</v>
      </c>
      <c r="B81" s="23">
        <v>-5.68</v>
      </c>
      <c r="C81">
        <f t="shared" si="3"/>
        <v>-0.46999999999999975</v>
      </c>
      <c r="D81">
        <f t="shared" si="4"/>
        <v>0.46999999999999975</v>
      </c>
    </row>
    <row r="82" spans="1:4" ht="15.5" x14ac:dyDescent="0.3">
      <c r="A82" s="23">
        <v>-4.0199999999999996</v>
      </c>
      <c r="B82" s="23">
        <v>-6.18</v>
      </c>
      <c r="C82">
        <f t="shared" si="3"/>
        <v>-2.16</v>
      </c>
      <c r="D82">
        <f t="shared" si="4"/>
        <v>2.16</v>
      </c>
    </row>
    <row r="83" spans="1:4" ht="15.5" x14ac:dyDescent="0.3">
      <c r="A83" s="23">
        <v>-2.5099999999999998</v>
      </c>
      <c r="B83" s="23">
        <v>-5.04</v>
      </c>
      <c r="C83">
        <f t="shared" si="3"/>
        <v>-2.5300000000000002</v>
      </c>
      <c r="D83">
        <f t="shared" si="4"/>
        <v>2.5300000000000002</v>
      </c>
    </row>
    <row r="84" spans="1:4" ht="15.5" x14ac:dyDescent="0.3">
      <c r="A84" s="23">
        <v>-1.38</v>
      </c>
      <c r="B84" s="23">
        <v>-1.91</v>
      </c>
      <c r="C84">
        <f t="shared" si="3"/>
        <v>-0.53</v>
      </c>
      <c r="D84">
        <f t="shared" si="4"/>
        <v>0.53</v>
      </c>
    </row>
    <row r="85" spans="1:4" ht="15.5" x14ac:dyDescent="0.3">
      <c r="A85" s="23">
        <v>-3.39</v>
      </c>
      <c r="B85" s="23">
        <v>-4.45</v>
      </c>
      <c r="C85">
        <f t="shared" si="3"/>
        <v>-1.06</v>
      </c>
      <c r="D85">
        <f t="shared" si="4"/>
        <v>1.06</v>
      </c>
    </row>
    <row r="86" spans="1:4" ht="15.5" x14ac:dyDescent="0.3">
      <c r="A86" s="23">
        <v>-1.76</v>
      </c>
      <c r="B86" s="23">
        <v>-3.94</v>
      </c>
      <c r="C86">
        <f t="shared" si="3"/>
        <v>-2.1799999999999997</v>
      </c>
      <c r="D86">
        <f t="shared" si="4"/>
        <v>2.1799999999999997</v>
      </c>
    </row>
    <row r="87" spans="1:4" ht="15.5" x14ac:dyDescent="0.3">
      <c r="A87" s="23">
        <v>-3.45</v>
      </c>
      <c r="B87" s="23">
        <v>-2.65</v>
      </c>
      <c r="C87">
        <f t="shared" si="3"/>
        <v>0.80000000000000027</v>
      </c>
      <c r="D87">
        <f t="shared" si="4"/>
        <v>0.80000000000000027</v>
      </c>
    </row>
    <row r="88" spans="1:4" ht="15.5" x14ac:dyDescent="0.3">
      <c r="A88" s="23">
        <v>-0.5</v>
      </c>
      <c r="B88" s="23">
        <v>-1.91</v>
      </c>
      <c r="C88">
        <f t="shared" si="3"/>
        <v>-1.41</v>
      </c>
      <c r="D88">
        <f t="shared" si="4"/>
        <v>1.41</v>
      </c>
    </row>
    <row r="89" spans="1:4" ht="15.5" x14ac:dyDescent="0.3">
      <c r="A89" s="23">
        <v>-46.93</v>
      </c>
      <c r="B89" s="23">
        <v>-36.42</v>
      </c>
      <c r="C89">
        <f t="shared" si="3"/>
        <v>10.509999999999998</v>
      </c>
      <c r="D89">
        <f t="shared" si="4"/>
        <v>10.509999999999998</v>
      </c>
    </row>
    <row r="90" spans="1:4" ht="16" thickBot="1" x14ac:dyDescent="0.35">
      <c r="A90" s="24">
        <v>-39.090000000000003</v>
      </c>
      <c r="B90" s="24">
        <v>-34.18</v>
      </c>
      <c r="C90">
        <f t="shared" si="3"/>
        <v>4.9100000000000037</v>
      </c>
      <c r="D90">
        <f t="shared" si="4"/>
        <v>4.9100000000000037</v>
      </c>
    </row>
    <row r="91" spans="1:4" x14ac:dyDescent="0.3">
      <c r="D91">
        <f>_xlfn.STDEV.S(C71:C90)</f>
        <v>2.8940517945388748</v>
      </c>
    </row>
  </sheetData>
  <sheetProtection selectLockedCells="1" selectUnlockedCells="1"/>
  <pageMargins left="0.75" right="0.75" top="1" bottom="1" header="0.51180555555555551" footer="0.51180555555555551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V165"/>
  <sheetViews>
    <sheetView tabSelected="1" topLeftCell="A22" zoomScale="70" zoomScaleNormal="70" zoomScaleSheetLayoutView="100" workbookViewId="0">
      <selection activeCell="B73" sqref="B73:D79"/>
    </sheetView>
  </sheetViews>
  <sheetFormatPr defaultRowHeight="14" x14ac:dyDescent="0.3"/>
  <cols>
    <col min="1" max="1" width="31.83203125" customWidth="1"/>
    <col min="2" max="2" width="23.33203125" customWidth="1"/>
    <col min="3" max="3" width="15.83203125" customWidth="1"/>
    <col min="4" max="4" width="17.83203125" customWidth="1"/>
    <col min="5" max="5" width="12.6640625" customWidth="1"/>
    <col min="6" max="6" width="12.58203125" customWidth="1"/>
    <col min="7" max="7" width="22.6640625" customWidth="1"/>
    <col min="8" max="8" width="11" customWidth="1"/>
    <col min="9" max="9" width="17" customWidth="1"/>
    <col min="10" max="10" width="11.9140625" customWidth="1"/>
    <col min="11" max="11" width="13.83203125" customWidth="1"/>
    <col min="12" max="12" width="23.6640625" customWidth="1"/>
    <col min="13" max="13" width="19" customWidth="1"/>
    <col min="14" max="14" width="12.58203125" customWidth="1"/>
    <col min="15" max="15" width="15.4140625" customWidth="1"/>
  </cols>
  <sheetData>
    <row r="2" spans="1:22" x14ac:dyDescent="0.3">
      <c r="A2" t="s">
        <v>38</v>
      </c>
      <c r="C2" s="8"/>
    </row>
    <row r="4" spans="1:22" x14ac:dyDescent="0.3">
      <c r="A4" s="1" t="s">
        <v>0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48</v>
      </c>
    </row>
    <row r="5" spans="1:22" x14ac:dyDescent="0.3">
      <c r="A5" t="s">
        <v>72</v>
      </c>
      <c r="B5" s="32">
        <v>-1.28</v>
      </c>
      <c r="C5" s="32">
        <v>8.42</v>
      </c>
      <c r="D5" s="32">
        <f>8+((-1)*B5)-C5</f>
        <v>0.85999999999999943</v>
      </c>
      <c r="E5">
        <v>0.91500000000000004</v>
      </c>
      <c r="F5" s="32">
        <v>9.9600000000000009</v>
      </c>
      <c r="G5">
        <f>11+((-1)*E5)-F5</f>
        <v>0.125</v>
      </c>
      <c r="H5" s="7">
        <v>-2.9000000000000001E-2</v>
      </c>
      <c r="I5" s="32">
        <v>2.3199999999999998</v>
      </c>
      <c r="J5" s="4">
        <v>1.87</v>
      </c>
      <c r="K5" s="4">
        <f>((((D5*H5)/I5)+((G5*H5)/J5))*0.5)</f>
        <v>-6.3442513368983933E-3</v>
      </c>
      <c r="L5" s="3">
        <f>((((D5*H5)/I5)+((G5*H5)/J5))*0.5)*627.51</f>
        <v>-3.9810811564171109</v>
      </c>
    </row>
    <row r="6" spans="1:22" x14ac:dyDescent="0.3">
      <c r="A6" t="s">
        <v>63</v>
      </c>
      <c r="B6" s="32">
        <v>-1.0669999999999999</v>
      </c>
      <c r="C6" s="32">
        <v>6.593</v>
      </c>
      <c r="D6" s="32">
        <f>7+((-1)*B6)-C6</f>
        <v>1.4740000000000002</v>
      </c>
      <c r="E6">
        <v>0.372</v>
      </c>
      <c r="F6" s="32">
        <v>0.16200000000000001</v>
      </c>
      <c r="G6">
        <f t="shared" ref="G6:G10" si="0">1+((-1)*E6)-F6</f>
        <v>0.46599999999999997</v>
      </c>
      <c r="H6" s="7">
        <v>-1.7000000000000001E-2</v>
      </c>
      <c r="I6" s="32">
        <v>2.63</v>
      </c>
      <c r="J6" s="4">
        <v>1.581</v>
      </c>
      <c r="K6" s="4">
        <f t="shared" ref="K6:K43" si="1">((((D6*H6)/I6)+((G6*H6)/J6))*0.5)</f>
        <v>-7.2692546710822203E-3</v>
      </c>
      <c r="L6" s="3">
        <f t="shared" ref="L6:L43" si="2">((((D6*H6)/I6)+((G6*H6)/J6))*0.5)*627.51</f>
        <v>-4.561529998650804</v>
      </c>
      <c r="N6" s="2"/>
      <c r="V6" s="1"/>
    </row>
    <row r="7" spans="1:22" x14ac:dyDescent="0.3">
      <c r="A7" t="s">
        <v>64</v>
      </c>
      <c r="B7" s="32">
        <v>-0.58399999999999996</v>
      </c>
      <c r="C7" s="32">
        <v>5.9459999999999997</v>
      </c>
      <c r="D7" s="32">
        <f t="shared" ref="D7" si="3">7+((-1)*B7)-C7</f>
        <v>1.6379999999999999</v>
      </c>
      <c r="E7">
        <v>0.62</v>
      </c>
      <c r="F7" s="32">
        <v>5.8000000000000003E-2</v>
      </c>
      <c r="G7">
        <f t="shared" si="0"/>
        <v>0.32200000000000001</v>
      </c>
      <c r="H7" s="7">
        <v>-2.8000000000000001E-2</v>
      </c>
      <c r="I7" s="32">
        <v>2.4289999999999998</v>
      </c>
      <c r="J7" s="4">
        <v>1.36</v>
      </c>
      <c r="K7" s="4">
        <f t="shared" si="1"/>
        <v>-1.2755628072554669E-2</v>
      </c>
      <c r="L7" s="3">
        <f t="shared" si="2"/>
        <v>-8.0042841718087807</v>
      </c>
      <c r="N7" s="2"/>
      <c r="V7" s="1"/>
    </row>
    <row r="8" spans="1:22" x14ac:dyDescent="0.3">
      <c r="A8" t="s">
        <v>65</v>
      </c>
      <c r="B8" s="32">
        <v>-0.78900000000000003</v>
      </c>
      <c r="C8" s="32">
        <v>7.6980000000000004</v>
      </c>
      <c r="D8" s="32">
        <f>8+((-1)*B8)-C8</f>
        <v>1.0909999999999993</v>
      </c>
      <c r="E8">
        <v>0.60599999999999998</v>
      </c>
      <c r="F8" s="32">
        <v>6.5000000000000002E-2</v>
      </c>
      <c r="G8">
        <f t="shared" si="0"/>
        <v>0.32900000000000001</v>
      </c>
      <c r="H8" s="7">
        <v>-1.4999999999999999E-2</v>
      </c>
      <c r="I8" s="32">
        <v>2.59</v>
      </c>
      <c r="J8" s="4">
        <v>1.6559999999999999</v>
      </c>
      <c r="K8" s="4">
        <f t="shared" si="1"/>
        <v>-4.6493026411504653E-3</v>
      </c>
      <c r="L8" s="3">
        <f t="shared" si="2"/>
        <v>-2.9174839003483286</v>
      </c>
      <c r="N8" s="2"/>
      <c r="V8" s="1"/>
    </row>
    <row r="9" spans="1:22" x14ac:dyDescent="0.3">
      <c r="A9" t="s">
        <v>66</v>
      </c>
      <c r="B9" s="32">
        <v>-1.1479999999999999</v>
      </c>
      <c r="C9" s="32">
        <v>8.1880000000000006</v>
      </c>
      <c r="D9" s="32">
        <f>8+((-1)*B9)-C9</f>
        <v>0.95999999999999908</v>
      </c>
      <c r="E9">
        <v>4.2000000000000003E-2</v>
      </c>
      <c r="F9" s="32">
        <v>0.39400000000000002</v>
      </c>
      <c r="G9">
        <f t="shared" si="0"/>
        <v>0.56399999999999995</v>
      </c>
      <c r="H9" s="7">
        <v>-1.0999999999999999E-2</v>
      </c>
      <c r="I9" s="32">
        <v>2.7440000000000002</v>
      </c>
      <c r="J9" s="4">
        <v>1.99</v>
      </c>
      <c r="K9" s="4">
        <f t="shared" si="1"/>
        <v>-3.4829922205781069E-3</v>
      </c>
      <c r="L9" s="3">
        <f t="shared" si="2"/>
        <v>-2.1856124483349677</v>
      </c>
      <c r="N9" s="2"/>
      <c r="V9" s="1"/>
    </row>
    <row r="10" spans="1:22" x14ac:dyDescent="0.3">
      <c r="A10" t="s">
        <v>67</v>
      </c>
      <c r="B10" s="32">
        <v>-1.9E-2</v>
      </c>
      <c r="C10" s="32">
        <v>0.44900000000000001</v>
      </c>
      <c r="D10" s="32">
        <f>1+((-1)*B10)-C10</f>
        <v>0.56999999999999984</v>
      </c>
      <c r="E10">
        <v>2.1999999999999999E-2</v>
      </c>
      <c r="F10" s="32">
        <v>0.42099999999999999</v>
      </c>
      <c r="G10">
        <f t="shared" si="0"/>
        <v>0.55699999999999994</v>
      </c>
      <c r="H10" s="7">
        <v>-7.9000000000000008E-3</v>
      </c>
      <c r="I10" s="32">
        <v>2.2829999999999999</v>
      </c>
      <c r="J10" s="4">
        <v>2.363</v>
      </c>
      <c r="K10" s="4">
        <f t="shared" si="1"/>
        <v>-1.9172857339080423E-3</v>
      </c>
      <c r="L10" s="3">
        <f t="shared" si="2"/>
        <v>-1.2031159708846355</v>
      </c>
      <c r="N10" s="2"/>
      <c r="V10" s="1"/>
    </row>
    <row r="11" spans="1:22" x14ac:dyDescent="0.3">
      <c r="A11" t="s">
        <v>68</v>
      </c>
      <c r="B11" s="32">
        <v>-0.96099999999999997</v>
      </c>
      <c r="C11" s="32">
        <v>6.4640000000000004</v>
      </c>
      <c r="D11" s="32">
        <f>7+((-1)*B11)-C11</f>
        <v>1.4969999999999999</v>
      </c>
      <c r="E11">
        <v>2.5000000000000001E-2</v>
      </c>
      <c r="F11" s="32">
        <v>16.161000000000001</v>
      </c>
      <c r="G11">
        <f>17+((-1)*E11)-F11</f>
        <v>0.81400000000000006</v>
      </c>
      <c r="H11" s="7">
        <v>-2.9600000000000001E-2</v>
      </c>
      <c r="I11" s="32">
        <v>2.4500000000000002</v>
      </c>
      <c r="J11" s="4">
        <v>2.4300000000000002</v>
      </c>
      <c r="K11" s="4">
        <f t="shared" si="1"/>
        <v>-1.4000797514067355E-2</v>
      </c>
      <c r="L11" s="3">
        <f t="shared" si="2"/>
        <v>-8.7856404480524066</v>
      </c>
      <c r="N11" s="2"/>
      <c r="V11" s="1"/>
    </row>
    <row r="12" spans="1:22" x14ac:dyDescent="0.3">
      <c r="A12" t="s">
        <v>70</v>
      </c>
      <c r="B12" s="32">
        <v>-1.133</v>
      </c>
      <c r="C12" s="32">
        <v>8.1750000000000007</v>
      </c>
      <c r="D12" s="32">
        <f>8+((-1)*B12)-C12</f>
        <v>0.95799999999999841</v>
      </c>
      <c r="E12">
        <v>0.61299999999999999</v>
      </c>
      <c r="F12" s="32">
        <v>5.8999999999999997E-2</v>
      </c>
      <c r="G12">
        <f>1+((-1)*E12)-F12</f>
        <v>0.32800000000000001</v>
      </c>
      <c r="H12" s="7">
        <v>-2.3800000000000002E-2</v>
      </c>
      <c r="I12" s="32">
        <v>2.3159999999999998</v>
      </c>
      <c r="J12" s="4">
        <v>1.4830000000000001</v>
      </c>
      <c r="K12" s="4">
        <f t="shared" si="1"/>
        <v>-7.5543283872372708E-3</v>
      </c>
      <c r="L12" s="3">
        <f t="shared" si="2"/>
        <v>-4.74041660627526</v>
      </c>
      <c r="N12" s="2"/>
      <c r="V12" s="1"/>
    </row>
    <row r="13" spans="1:22" x14ac:dyDescent="0.3">
      <c r="A13" t="s">
        <v>69</v>
      </c>
      <c r="B13" s="32">
        <v>-1.2E-2</v>
      </c>
      <c r="C13" s="32">
        <v>6.827</v>
      </c>
      <c r="D13" s="32">
        <f>8+((-1)*B13)-C13</f>
        <v>1.1850000000000005</v>
      </c>
      <c r="E13" s="32">
        <v>0.25</v>
      </c>
      <c r="F13" s="32">
        <v>0.224</v>
      </c>
      <c r="G13">
        <f>1+((-1)*E13)-F13</f>
        <v>0.52600000000000002</v>
      </c>
      <c r="H13" s="7">
        <v>-1.6500000000000001E-2</v>
      </c>
      <c r="I13" s="32">
        <v>2.5739999999999998</v>
      </c>
      <c r="J13" s="4">
        <v>1.526</v>
      </c>
      <c r="K13" s="4">
        <f t="shared" si="1"/>
        <v>-6.6417859663272533E-3</v>
      </c>
      <c r="L13" s="3">
        <f t="shared" si="2"/>
        <v>-4.1677871117300143</v>
      </c>
      <c r="N13" s="2"/>
      <c r="V13" s="1"/>
    </row>
    <row r="14" spans="1:22" ht="15.5" x14ac:dyDescent="0.3">
      <c r="A14" s="27" t="s">
        <v>73</v>
      </c>
      <c r="B14">
        <v>-1.0980000000000001</v>
      </c>
      <c r="C14" s="32">
        <v>8.1509999999999998</v>
      </c>
      <c r="D14" s="32">
        <f>8+((-1)*B14)-C14</f>
        <v>0.94700000000000095</v>
      </c>
      <c r="E14" s="32">
        <v>1.05</v>
      </c>
      <c r="F14" s="32">
        <v>3.2709999999999999</v>
      </c>
      <c r="G14">
        <f>6+((-1)*E14)-F14</f>
        <v>1.6790000000000003</v>
      </c>
      <c r="H14" s="33">
        <v>-1.4E-2</v>
      </c>
      <c r="I14" s="32">
        <v>2.6539999999999999</v>
      </c>
      <c r="J14" s="4">
        <v>2.4689999999999999</v>
      </c>
      <c r="K14" s="4">
        <f t="shared" si="1"/>
        <v>-7.2579660739667765E-3</v>
      </c>
      <c r="L14" s="3">
        <f t="shared" si="2"/>
        <v>-4.5544462910748917</v>
      </c>
      <c r="N14" s="2"/>
      <c r="V14" s="1"/>
    </row>
    <row r="15" spans="1:22" ht="15.5" x14ac:dyDescent="0.3">
      <c r="A15" s="27" t="s">
        <v>74</v>
      </c>
      <c r="B15" s="33">
        <v>-1.121</v>
      </c>
      <c r="C15" s="33">
        <v>8.202</v>
      </c>
      <c r="D15" s="32">
        <f>8+((-1)*B15)-C15</f>
        <v>0.91900000000000048</v>
      </c>
      <c r="E15">
        <v>5.8000000000000003E-2</v>
      </c>
      <c r="F15" s="32">
        <v>0.40010000000000001</v>
      </c>
      <c r="G15" s="32">
        <f>1+((-1)*E15)-F15</f>
        <v>0.54189999999999994</v>
      </c>
      <c r="H15" s="7">
        <v>-1.0999999999999999E-2</v>
      </c>
      <c r="I15" s="32">
        <v>2.677</v>
      </c>
      <c r="J15" s="4">
        <v>1.974</v>
      </c>
      <c r="K15" s="4">
        <f t="shared" si="1"/>
        <v>-3.3979741211770959E-3</v>
      </c>
      <c r="L15" s="3">
        <f t="shared" si="2"/>
        <v>-2.1322627407798396</v>
      </c>
      <c r="N15" s="2"/>
      <c r="V15" s="1"/>
    </row>
    <row r="16" spans="1:22" ht="15.5" x14ac:dyDescent="0.35">
      <c r="A16" s="34" t="s">
        <v>75</v>
      </c>
      <c r="B16" s="35">
        <v>1.7999999999999999E-2</v>
      </c>
      <c r="C16" s="35">
        <v>16.238</v>
      </c>
      <c r="D16" s="35">
        <f>17+((-1)*B16)-C16</f>
        <v>0.74399999999999977</v>
      </c>
      <c r="E16" s="35">
        <v>5.0000000000000001E-4</v>
      </c>
      <c r="F16" s="35">
        <v>0.437</v>
      </c>
      <c r="G16" s="35">
        <f>1+((-1)*E16)-F16</f>
        <v>0.5625</v>
      </c>
      <c r="H16" s="35">
        <v>-4.0000000000000001E-3</v>
      </c>
      <c r="I16" s="35">
        <v>3.61</v>
      </c>
      <c r="J16" s="36">
        <v>2.3199999999999998</v>
      </c>
      <c r="K16" s="37">
        <f t="shared" si="1"/>
        <v>-8.9710215875441781E-4</v>
      </c>
      <c r="L16" s="38">
        <f t="shared" si="2"/>
        <v>-0.56294057563998467</v>
      </c>
      <c r="N16" s="2"/>
      <c r="V16" s="1"/>
    </row>
    <row r="17" spans="1:22" ht="15.5" x14ac:dyDescent="0.35">
      <c r="A17" s="34" t="s">
        <v>76</v>
      </c>
      <c r="B17" s="35">
        <v>-0.32300000000000001</v>
      </c>
      <c r="C17" s="35">
        <v>16.643000000000001</v>
      </c>
      <c r="D17" s="35">
        <f>17+((-1)*B17)-C17</f>
        <v>0.67999999999999972</v>
      </c>
      <c r="E17" s="35">
        <v>0.89300000000000002</v>
      </c>
      <c r="F17" s="35">
        <v>9.9670000000000005</v>
      </c>
      <c r="G17" s="35">
        <f>11+((-1)*E17)-F17</f>
        <v>0.13999999999999879</v>
      </c>
      <c r="H17" s="35">
        <v>-1.2E-2</v>
      </c>
      <c r="I17" s="35">
        <v>3.1469999999999998</v>
      </c>
      <c r="J17" s="36">
        <v>2.1560000000000001</v>
      </c>
      <c r="K17" s="37">
        <f t="shared" si="1"/>
        <v>-1.6860832208782602E-3</v>
      </c>
      <c r="L17" s="38">
        <f t="shared" si="2"/>
        <v>-1.0580340819333172</v>
      </c>
      <c r="N17" s="2"/>
      <c r="V17" s="1"/>
    </row>
    <row r="18" spans="1:22" ht="15.5" x14ac:dyDescent="0.35">
      <c r="A18" s="34" t="s">
        <v>77</v>
      </c>
      <c r="B18" s="35">
        <v>-0.877</v>
      </c>
      <c r="C18" s="35">
        <v>17.681000000000001</v>
      </c>
      <c r="D18" s="35">
        <f>17+((-1)*B18)-C18</f>
        <v>0.19599999999999795</v>
      </c>
      <c r="E18" s="35">
        <v>0.13300000000000001</v>
      </c>
      <c r="F18" s="35">
        <v>0.318</v>
      </c>
      <c r="G18" s="35">
        <f t="shared" ref="G18:G28" si="4">1+((-1)*E18)-F18</f>
        <v>0.54899999999999993</v>
      </c>
      <c r="H18" s="35">
        <v>-1.4E-2</v>
      </c>
      <c r="I18" s="35">
        <v>3.133</v>
      </c>
      <c r="J18" s="36">
        <v>1.7130000000000001</v>
      </c>
      <c r="K18" s="37">
        <f t="shared" si="1"/>
        <v>-2.6813515019763019E-3</v>
      </c>
      <c r="L18" s="38">
        <f t="shared" si="2"/>
        <v>-1.6825748810051491</v>
      </c>
      <c r="N18" s="2"/>
      <c r="V18" s="1"/>
    </row>
    <row r="19" spans="1:22" ht="15.5" x14ac:dyDescent="0.35">
      <c r="A19" s="39" t="s">
        <v>78</v>
      </c>
      <c r="B19" s="40">
        <v>-1.0740000000000001</v>
      </c>
      <c r="C19" s="41">
        <v>6.4530000000000003</v>
      </c>
      <c r="D19" s="35">
        <f>7+((-1)*B19)-C19</f>
        <v>1.6209999999999996</v>
      </c>
      <c r="E19" s="42">
        <v>3.1600000000000003E-2</v>
      </c>
      <c r="F19" s="42">
        <v>0.4</v>
      </c>
      <c r="G19" s="35">
        <f t="shared" si="4"/>
        <v>0.56840000000000002</v>
      </c>
      <c r="H19" s="42">
        <v>-7.7999999999999996E-3</v>
      </c>
      <c r="I19" s="42">
        <v>3.0739999999999998</v>
      </c>
      <c r="J19" s="43">
        <v>2.7250000000000001</v>
      </c>
      <c r="K19" s="37">
        <f t="shared" si="1"/>
        <v>-2.8700611509374268E-3</v>
      </c>
      <c r="L19" s="38">
        <f t="shared" si="2"/>
        <v>-1.8009920728247446</v>
      </c>
      <c r="N19" s="2"/>
      <c r="V19" s="1"/>
    </row>
    <row r="20" spans="1:22" ht="15.5" x14ac:dyDescent="0.35">
      <c r="A20" s="39" t="s">
        <v>79</v>
      </c>
      <c r="B20" s="40">
        <v>0.42159999999999997</v>
      </c>
      <c r="C20" s="41">
        <v>0.14599999999999999</v>
      </c>
      <c r="D20" s="35">
        <f>1+((-1)*B20)-C20</f>
        <v>0.43240000000000001</v>
      </c>
      <c r="E20" s="42">
        <v>-2.5999999999999999E-2</v>
      </c>
      <c r="F20" s="42">
        <v>0.45800000000000002</v>
      </c>
      <c r="G20" s="35">
        <f t="shared" si="4"/>
        <v>0.56800000000000006</v>
      </c>
      <c r="H20" s="42">
        <v>-3.3E-3</v>
      </c>
      <c r="I20" s="42">
        <v>2.6240000000000001</v>
      </c>
      <c r="J20" s="43">
        <v>2.7250000000000001</v>
      </c>
      <c r="K20" s="44">
        <f t="shared" si="1"/>
        <v>-6.1582447135824568E-4</v>
      </c>
      <c r="L20" s="45">
        <f t="shared" si="2"/>
        <v>-0.38643601402201272</v>
      </c>
      <c r="N20" s="2"/>
      <c r="V20" s="1"/>
    </row>
    <row r="21" spans="1:22" ht="15.5" x14ac:dyDescent="0.35">
      <c r="A21" s="46" t="s">
        <v>80</v>
      </c>
      <c r="B21" s="47">
        <v>-1.1339999999999999</v>
      </c>
      <c r="C21" s="47">
        <v>8.1319999999999997</v>
      </c>
      <c r="D21" s="35">
        <f>8+((-1)*B21)-C21</f>
        <v>1.0020000000000007</v>
      </c>
      <c r="E21" s="47">
        <v>0.53700000000000003</v>
      </c>
      <c r="F21" s="47">
        <v>8.5000000000000006E-2</v>
      </c>
      <c r="G21" s="47">
        <f t="shared" si="4"/>
        <v>0.37799999999999995</v>
      </c>
      <c r="H21" s="47">
        <v>-2.3E-2</v>
      </c>
      <c r="I21" s="47">
        <v>2.3570000000000002</v>
      </c>
      <c r="J21" s="48">
        <v>1.39</v>
      </c>
      <c r="K21" s="49">
        <f t="shared" si="1"/>
        <v>-8.0161798774811312E-3</v>
      </c>
      <c r="L21" s="50">
        <f t="shared" si="2"/>
        <v>-5.0302330349181847</v>
      </c>
      <c r="N21" s="2"/>
      <c r="V21" s="1"/>
    </row>
    <row r="22" spans="1:22" ht="15.5" x14ac:dyDescent="0.35">
      <c r="A22" s="46" t="s">
        <v>81</v>
      </c>
      <c r="B22" s="47">
        <v>-1.1339999999999999</v>
      </c>
      <c r="C22" s="47">
        <v>8.1319999999999997</v>
      </c>
      <c r="D22" s="35">
        <f>8+((-1)*B22)-C22</f>
        <v>1.0020000000000007</v>
      </c>
      <c r="E22" s="42">
        <v>3.1600000000000003E-2</v>
      </c>
      <c r="F22" s="42">
        <v>0.4</v>
      </c>
      <c r="G22" s="47">
        <f t="shared" si="4"/>
        <v>0.56840000000000002</v>
      </c>
      <c r="H22" s="51">
        <v>-7.4999999999999997E-3</v>
      </c>
      <c r="I22" s="51">
        <v>3.1920000000000002</v>
      </c>
      <c r="J22" s="52">
        <v>2.1269999999999998</v>
      </c>
      <c r="K22" s="49">
        <f t="shared" si="1"/>
        <v>-2.1792773099886535E-3</v>
      </c>
      <c r="L22" s="50">
        <f t="shared" si="2"/>
        <v>-1.36751830479098</v>
      </c>
      <c r="N22" s="2"/>
      <c r="V22" s="1"/>
    </row>
    <row r="23" spans="1:22" ht="15.5" x14ac:dyDescent="0.35">
      <c r="A23" s="46" t="s">
        <v>82</v>
      </c>
      <c r="B23" s="51">
        <v>0.41399999999999998</v>
      </c>
      <c r="C23" s="51">
        <v>0.14299999999999999</v>
      </c>
      <c r="D23" s="35">
        <f>1+((-1)*B23)-C23</f>
        <v>0.44300000000000006</v>
      </c>
      <c r="E23" s="51">
        <v>3.5999999999999997E-2</v>
      </c>
      <c r="F23" s="51">
        <v>0.39800000000000002</v>
      </c>
      <c r="G23" s="51">
        <f t="shared" si="4"/>
        <v>0.56599999999999995</v>
      </c>
      <c r="H23" s="51">
        <v>-7.7000000000000002E-3</v>
      </c>
      <c r="I23" s="51">
        <v>2.4169999999999998</v>
      </c>
      <c r="J23" s="52">
        <v>2.62</v>
      </c>
      <c r="K23" s="49">
        <f t="shared" si="1"/>
        <v>-1.5373650541488882E-3</v>
      </c>
      <c r="L23" s="50">
        <f t="shared" si="2"/>
        <v>-0.96471194512896885</v>
      </c>
      <c r="N23" s="2"/>
      <c r="V23" s="1"/>
    </row>
    <row r="24" spans="1:22" ht="15.5" x14ac:dyDescent="0.35">
      <c r="A24" s="34" t="s">
        <v>83</v>
      </c>
      <c r="B24" s="35">
        <v>-1.2250000000000001</v>
      </c>
      <c r="C24" s="35">
        <v>6.6349999999999998</v>
      </c>
      <c r="D24" s="35">
        <f>7+((-1)*B24)-C24</f>
        <v>1.5899999999999999</v>
      </c>
      <c r="E24" s="35">
        <v>4.9200000000000001E-2</v>
      </c>
      <c r="F24" s="35">
        <v>0.39200000000000002</v>
      </c>
      <c r="G24" s="51">
        <f t="shared" si="4"/>
        <v>0.55879999999999996</v>
      </c>
      <c r="H24" s="35">
        <v>-7.7999999999999996E-3</v>
      </c>
      <c r="I24" s="35">
        <v>2.919</v>
      </c>
      <c r="J24" s="36">
        <v>2.5529999999999999</v>
      </c>
      <c r="K24" s="49">
        <f t="shared" si="1"/>
        <v>-2.9779886790584314E-3</v>
      </c>
      <c r="L24" s="50">
        <f t="shared" si="2"/>
        <v>-1.8687176759959563</v>
      </c>
      <c r="N24" s="2"/>
      <c r="V24" s="1"/>
    </row>
    <row r="25" spans="1:22" ht="15.5" x14ac:dyDescent="0.35">
      <c r="A25" s="29" t="s">
        <v>84</v>
      </c>
      <c r="B25" s="35">
        <v>-0.89500000000000002</v>
      </c>
      <c r="C25" s="35">
        <v>7.7850000000000001</v>
      </c>
      <c r="D25" s="35">
        <f t="shared" ref="D25:D30" si="5">8+((-1)*B25)-C25</f>
        <v>1.1099999999999994</v>
      </c>
      <c r="E25" s="35">
        <v>0.47699999999999998</v>
      </c>
      <c r="F25" s="35">
        <v>0.11</v>
      </c>
      <c r="G25" s="51">
        <f t="shared" si="4"/>
        <v>0.41300000000000003</v>
      </c>
      <c r="H25" s="35">
        <v>-1.7999999999999999E-2</v>
      </c>
      <c r="I25" s="35">
        <v>2.5110000000000001</v>
      </c>
      <c r="J25" s="36">
        <v>1.482</v>
      </c>
      <c r="K25" s="49">
        <f t="shared" si="1"/>
        <v>-6.486591789647814E-3</v>
      </c>
      <c r="L25" s="50">
        <f t="shared" si="2"/>
        <v>-4.0704012139219001</v>
      </c>
      <c r="N25" s="2"/>
      <c r="V25" s="1"/>
    </row>
    <row r="26" spans="1:22" ht="15.5" x14ac:dyDescent="0.35">
      <c r="A26" s="34" t="s">
        <v>85</v>
      </c>
      <c r="B26" s="35">
        <v>-0.89500000000000002</v>
      </c>
      <c r="C26" s="35">
        <v>7.7850000000000001</v>
      </c>
      <c r="D26" s="35">
        <f t="shared" si="5"/>
        <v>1.1099999999999994</v>
      </c>
      <c r="E26" s="35">
        <v>5.6000000000000001E-2</v>
      </c>
      <c r="F26" s="35">
        <v>0.38300000000000001</v>
      </c>
      <c r="G26" s="51">
        <f t="shared" si="4"/>
        <v>0.56099999999999994</v>
      </c>
      <c r="H26" s="35">
        <v>-7.6E-3</v>
      </c>
      <c r="I26" s="35">
        <v>2.8759999999999999</v>
      </c>
      <c r="J26" s="36">
        <v>1.998</v>
      </c>
      <c r="K26" s="49">
        <f t="shared" si="1"/>
        <v>-2.5335872729474948E-3</v>
      </c>
      <c r="L26" s="50">
        <f t="shared" si="2"/>
        <v>-1.5898513496472824</v>
      </c>
      <c r="N26" s="2"/>
      <c r="V26" s="1"/>
    </row>
    <row r="27" spans="1:22" ht="15.5" x14ac:dyDescent="0.35">
      <c r="A27" s="39" t="s">
        <v>88</v>
      </c>
      <c r="B27" s="41">
        <v>-1.1259999999999999</v>
      </c>
      <c r="C27" s="41">
        <v>8.1769999999999996</v>
      </c>
      <c r="D27" s="35">
        <f t="shared" si="5"/>
        <v>0.94899999999999984</v>
      </c>
      <c r="E27" s="35">
        <v>0.59799999999999998</v>
      </c>
      <c r="F27" s="35">
        <v>6.4399999999999999E-2</v>
      </c>
      <c r="G27" s="35">
        <f t="shared" si="4"/>
        <v>0.33760000000000001</v>
      </c>
      <c r="H27" s="35">
        <v>-2.5100000000000001E-2</v>
      </c>
      <c r="I27" s="35">
        <v>2.3809999999999998</v>
      </c>
      <c r="J27" s="36">
        <v>1.323</v>
      </c>
      <c r="K27" s="37">
        <f t="shared" si="1"/>
        <v>-8.2045581723286173E-3</v>
      </c>
      <c r="L27" s="38">
        <f t="shared" si="2"/>
        <v>-5.1484422987179306</v>
      </c>
      <c r="N27" s="2"/>
      <c r="V27" s="1"/>
    </row>
    <row r="28" spans="1:22" ht="15.5" x14ac:dyDescent="0.35">
      <c r="A28" s="39" t="s">
        <v>89</v>
      </c>
      <c r="B28" s="41">
        <v>-1.1579999999999999</v>
      </c>
      <c r="C28" s="41">
        <v>8.4320000000000004</v>
      </c>
      <c r="D28" s="35">
        <f t="shared" si="5"/>
        <v>0.72599999999999909</v>
      </c>
      <c r="E28" s="35">
        <v>6.93E-2</v>
      </c>
      <c r="F28" s="35">
        <v>0.379</v>
      </c>
      <c r="G28" s="35">
        <f t="shared" si="4"/>
        <v>0.55169999999999997</v>
      </c>
      <c r="H28" s="35">
        <v>-8.8000000000000005E-3</v>
      </c>
      <c r="I28" s="35">
        <v>2.722</v>
      </c>
      <c r="J28" s="36">
        <v>1.968</v>
      </c>
      <c r="K28" s="37">
        <f t="shared" si="1"/>
        <v>-2.4070244708876169E-3</v>
      </c>
      <c r="L28" s="38">
        <f t="shared" si="2"/>
        <v>-1.5104319257266885</v>
      </c>
      <c r="N28" s="2"/>
      <c r="V28" s="1"/>
    </row>
    <row r="29" spans="1:22" ht="15.5" x14ac:dyDescent="0.35">
      <c r="A29" s="39" t="s">
        <v>107</v>
      </c>
      <c r="B29" s="41">
        <v>-6.7000000000000004E-2</v>
      </c>
      <c r="C29" s="41">
        <v>6.6459999999999999</v>
      </c>
      <c r="D29" s="35">
        <f t="shared" si="5"/>
        <v>1.4210000000000003</v>
      </c>
      <c r="E29" s="35">
        <v>1.03E-2</v>
      </c>
      <c r="F29" s="35">
        <v>3.9319999999999999</v>
      </c>
      <c r="G29" s="35">
        <f>6+((-1)*E29)-F29</f>
        <v>2.0577000000000001</v>
      </c>
      <c r="H29" s="35">
        <v>-1.29E-2</v>
      </c>
      <c r="I29" s="35">
        <v>2.4460000000000002</v>
      </c>
      <c r="J29" s="36">
        <v>2.871</v>
      </c>
      <c r="K29" s="37">
        <f t="shared" si="1"/>
        <v>-8.3699547338499051E-3</v>
      </c>
      <c r="L29" s="38">
        <f t="shared" si="2"/>
        <v>-5.2522302950381539</v>
      </c>
      <c r="N29" s="2"/>
      <c r="V29" s="1"/>
    </row>
    <row r="30" spans="1:22" ht="15.5" x14ac:dyDescent="0.35">
      <c r="A30" s="39" t="s">
        <v>106</v>
      </c>
      <c r="B30" s="41">
        <v>-1.131</v>
      </c>
      <c r="C30" s="41">
        <v>8.1620000000000008</v>
      </c>
      <c r="D30" s="35">
        <f t="shared" si="5"/>
        <v>0.96899999999999942</v>
      </c>
      <c r="E30" s="35">
        <v>0.64100000000000001</v>
      </c>
      <c r="F30" s="35">
        <v>5.0999999999999997E-2</v>
      </c>
      <c r="G30" s="35">
        <f>1+((-1)*E30)-F30</f>
        <v>0.308</v>
      </c>
      <c r="H30" s="35">
        <v>-4.6699999999999998E-2</v>
      </c>
      <c r="I30" s="35">
        <v>2.1549999999999998</v>
      </c>
      <c r="J30" s="36">
        <v>1.1299999999999999</v>
      </c>
      <c r="K30" s="37">
        <f t="shared" si="1"/>
        <v>-1.6863798328645048E-2</v>
      </c>
      <c r="L30" s="38">
        <f t="shared" si="2"/>
        <v>-10.582202089208053</v>
      </c>
      <c r="N30" s="2"/>
      <c r="V30" s="1"/>
    </row>
    <row r="31" spans="1:22" ht="15.5" x14ac:dyDescent="0.35">
      <c r="A31" s="39" t="s">
        <v>91</v>
      </c>
      <c r="B31" s="41">
        <v>-3.3000000000000002E-2</v>
      </c>
      <c r="C31" s="41">
        <v>3.9660000000000002</v>
      </c>
      <c r="D31" s="35">
        <f>6+((-1)*B31)-C31</f>
        <v>2.0670000000000002</v>
      </c>
      <c r="E31" s="35">
        <v>1.9699999999999999E-2</v>
      </c>
      <c r="F31" s="35">
        <v>0.41099999999999998</v>
      </c>
      <c r="G31" s="35">
        <f>1+((-1)*E31)-F31</f>
        <v>0.56929999999999992</v>
      </c>
      <c r="H31" s="35">
        <v>-5.8999999999999999E-3</v>
      </c>
      <c r="I31" s="35">
        <v>3.1909999999999998</v>
      </c>
      <c r="J31" s="36">
        <v>2.2869999999999999</v>
      </c>
      <c r="K31" s="37">
        <f t="shared" si="1"/>
        <v>-2.645229749526468E-3</v>
      </c>
      <c r="L31" s="38">
        <f t="shared" si="2"/>
        <v>-1.659908120125354</v>
      </c>
      <c r="N31" s="2"/>
      <c r="V31" s="1"/>
    </row>
    <row r="32" spans="1:22" ht="15.5" x14ac:dyDescent="0.35">
      <c r="A32" s="39" t="s">
        <v>92</v>
      </c>
      <c r="B32" s="41">
        <v>1.9699999999999999E-2</v>
      </c>
      <c r="C32" s="41">
        <v>0.41099999999999998</v>
      </c>
      <c r="D32" s="35">
        <f>1+((-1)*B32)-C32</f>
        <v>0.56929999999999992</v>
      </c>
      <c r="E32" s="35">
        <v>1.9599999999999999E-2</v>
      </c>
      <c r="F32" s="35">
        <v>0.40799999999999997</v>
      </c>
      <c r="G32" s="35">
        <f>1+((-1)*E32)-F32</f>
        <v>0.57240000000000002</v>
      </c>
      <c r="H32" s="35">
        <v>-1.0699999999999999E-2</v>
      </c>
      <c r="I32" s="35">
        <v>2.1269999999999998</v>
      </c>
      <c r="J32" s="36">
        <v>2.1259999999999999</v>
      </c>
      <c r="K32" s="37">
        <f t="shared" si="1"/>
        <v>-2.8723720843113294E-3</v>
      </c>
      <c r="L32" s="38">
        <f t="shared" si="2"/>
        <v>-1.8024422066262022</v>
      </c>
      <c r="N32" s="2"/>
      <c r="V32" s="1"/>
    </row>
    <row r="33" spans="1:22" ht="15.5" x14ac:dyDescent="0.35">
      <c r="A33" s="39" t="s">
        <v>93</v>
      </c>
      <c r="B33" s="35">
        <v>-4.5999999999999999E-3</v>
      </c>
      <c r="C33" s="35">
        <v>3.9750000000000001</v>
      </c>
      <c r="D33" s="35">
        <f>6+((-1)*B33)-C33</f>
        <v>2.0295999999999998</v>
      </c>
      <c r="E33" s="57">
        <v>1.04E-2</v>
      </c>
      <c r="F33" s="57">
        <v>3.9630000000000001</v>
      </c>
      <c r="G33" s="35">
        <f>6+((-1)*E33)-F33</f>
        <v>2.0266000000000002</v>
      </c>
      <c r="H33" s="35">
        <v>-4.3E-3</v>
      </c>
      <c r="I33" s="36">
        <v>3.4489999999999998</v>
      </c>
      <c r="J33" s="36">
        <v>3.706</v>
      </c>
      <c r="K33" s="37">
        <f t="shared" si="1"/>
        <v>-2.4409022684567057E-3</v>
      </c>
      <c r="L33" s="38">
        <f t="shared" si="2"/>
        <v>-1.5316905824792673</v>
      </c>
      <c r="N33" s="2"/>
      <c r="V33" s="1"/>
    </row>
    <row r="34" spans="1:22" ht="15.5" x14ac:dyDescent="0.35">
      <c r="A34" s="27" t="s">
        <v>95</v>
      </c>
      <c r="B34" s="41">
        <v>-1.208</v>
      </c>
      <c r="C34" s="41">
        <v>6.875</v>
      </c>
      <c r="D34" s="35">
        <f>7+((-1)*B34)-C34</f>
        <v>1.3330000000000002</v>
      </c>
      <c r="E34" s="35">
        <v>0.59699999999999998</v>
      </c>
      <c r="F34" s="35">
        <v>6.5000000000000002E-2</v>
      </c>
      <c r="G34" s="35">
        <f>1+((-1)*E34)-F34</f>
        <v>0.33800000000000002</v>
      </c>
      <c r="H34" s="7">
        <v>-1.95E-2</v>
      </c>
      <c r="I34" s="32">
        <v>2.532</v>
      </c>
      <c r="J34" s="36">
        <v>1.415</v>
      </c>
      <c r="K34" s="4">
        <f t="shared" si="1"/>
        <v>-7.4619728953494221E-3</v>
      </c>
      <c r="L34" s="3">
        <f t="shared" si="2"/>
        <v>-4.682462611560716</v>
      </c>
      <c r="N34" s="2"/>
      <c r="V34" s="1"/>
    </row>
    <row r="35" spans="1:22" ht="15.5" x14ac:dyDescent="0.35">
      <c r="A35" s="27" t="s">
        <v>96</v>
      </c>
      <c r="B35" s="41">
        <v>-1.167</v>
      </c>
      <c r="C35" s="41">
        <v>8.4220000000000006</v>
      </c>
      <c r="D35" s="35">
        <f>8+((-1)*B35)-C35</f>
        <v>0.74499999999999922</v>
      </c>
      <c r="E35" s="35">
        <v>0.53500000000000003</v>
      </c>
      <c r="F35" s="35">
        <v>8.8999999999999996E-2</v>
      </c>
      <c r="G35" s="35">
        <f>1+((-1)*E35)-F35</f>
        <v>0.376</v>
      </c>
      <c r="H35" s="7">
        <v>-4.4999999999999998E-2</v>
      </c>
      <c r="I35" s="32">
        <v>2.1360000000000001</v>
      </c>
      <c r="J35" s="36">
        <v>1.095</v>
      </c>
      <c r="K35" s="4">
        <f t="shared" si="1"/>
        <v>-1.5573639756810828E-2</v>
      </c>
      <c r="L35" s="3">
        <f t="shared" si="2"/>
        <v>-9.7726146837963626</v>
      </c>
      <c r="N35" s="2"/>
      <c r="V35" s="1"/>
    </row>
    <row r="36" spans="1:22" ht="15.5" x14ac:dyDescent="0.35">
      <c r="A36" s="27" t="s">
        <v>98</v>
      </c>
      <c r="B36" s="41">
        <v>-1.0960000000000001</v>
      </c>
      <c r="C36" s="41">
        <v>7.899</v>
      </c>
      <c r="D36" s="35">
        <f>8+((-1)*B36)-C36</f>
        <v>1.1970000000000001</v>
      </c>
      <c r="E36" s="35">
        <v>0.56000000000000005</v>
      </c>
      <c r="F36" s="35">
        <v>7.6999999999999999E-2</v>
      </c>
      <c r="G36" s="35">
        <f>1+((-1)*E36)-F36</f>
        <v>0.36299999999999993</v>
      </c>
      <c r="H36" s="7">
        <v>-1.7999999999999999E-2</v>
      </c>
      <c r="I36" s="32">
        <v>2.4929999999999999</v>
      </c>
      <c r="J36" s="36">
        <v>1.47</v>
      </c>
      <c r="K36" s="4">
        <f t="shared" si="1"/>
        <v>-6.5437486185810061E-3</v>
      </c>
      <c r="L36" s="3">
        <f t="shared" si="2"/>
        <v>-4.1062676956457667</v>
      </c>
      <c r="N36" s="2"/>
      <c r="V36" s="1"/>
    </row>
    <row r="37" spans="1:22" ht="15.5" x14ac:dyDescent="0.35">
      <c r="A37" s="27" t="s">
        <v>97</v>
      </c>
      <c r="B37" s="41">
        <v>-1.167</v>
      </c>
      <c r="C37" s="41">
        <v>8.2170000000000005</v>
      </c>
      <c r="D37" s="35">
        <f>8+((-1)*B37)-C37</f>
        <v>0.94999999999999929</v>
      </c>
      <c r="E37" s="35">
        <v>0.60699999999999998</v>
      </c>
      <c r="F37" s="35">
        <v>6.0999999999999999E-2</v>
      </c>
      <c r="G37" s="35">
        <f>1+((-1)*E37)-F37</f>
        <v>0.33200000000000002</v>
      </c>
      <c r="H37" s="7">
        <v>-2.5000000000000001E-2</v>
      </c>
      <c r="I37" s="32">
        <v>2.3650000000000002</v>
      </c>
      <c r="J37" s="36">
        <v>1.3140000000000001</v>
      </c>
      <c r="K37" s="4">
        <f t="shared" si="1"/>
        <v>-8.1794369306315753E-3</v>
      </c>
      <c r="L37" s="3">
        <f t="shared" si="2"/>
        <v>-5.1326784683406199</v>
      </c>
      <c r="N37" s="2"/>
      <c r="V37" s="1"/>
    </row>
    <row r="38" spans="1:22" ht="15.5" x14ac:dyDescent="0.35">
      <c r="A38" s="27" t="s">
        <v>99</v>
      </c>
      <c r="B38" s="41">
        <v>-1.177</v>
      </c>
      <c r="C38" s="41">
        <v>8.2379999999999995</v>
      </c>
      <c r="D38" s="35">
        <f>8+((-1)*B38)-C38</f>
        <v>0.93900000000000006</v>
      </c>
      <c r="E38" s="35">
        <v>7.8E-2</v>
      </c>
      <c r="F38" s="35">
        <v>0.36899999999999999</v>
      </c>
      <c r="G38" s="35">
        <f>1+((-1)*E38)-F38</f>
        <v>0.55300000000000005</v>
      </c>
      <c r="H38" s="7">
        <v>-8.2000000000000007E-3</v>
      </c>
      <c r="I38" s="32">
        <v>2.8180000000000001</v>
      </c>
      <c r="J38" s="36">
        <v>2.0619999999999998</v>
      </c>
      <c r="K38" s="4">
        <f t="shared" si="1"/>
        <v>-2.4657452196940968E-3</v>
      </c>
      <c r="L38" s="3">
        <f t="shared" si="2"/>
        <v>-1.5472797828102427</v>
      </c>
      <c r="N38" s="2"/>
      <c r="V38" s="1"/>
    </row>
    <row r="39" spans="1:22" ht="15.5" x14ac:dyDescent="0.35">
      <c r="A39" s="27" t="s">
        <v>104</v>
      </c>
      <c r="B39" s="41">
        <v>1.5569999999999999</v>
      </c>
      <c r="C39" s="41">
        <v>2.8220000000000001</v>
      </c>
      <c r="D39" s="35">
        <f>6+((-1)*B39)-C39</f>
        <v>1.6209999999999996</v>
      </c>
      <c r="E39" s="35">
        <v>1.5589999999999999</v>
      </c>
      <c r="F39" s="35">
        <v>2.82</v>
      </c>
      <c r="G39" s="35">
        <f>6+((-1)*E39)-F39</f>
        <v>1.621</v>
      </c>
      <c r="H39" s="7">
        <v>-5.4000000000000003E-3</v>
      </c>
      <c r="I39" s="32">
        <v>3.0270000000000001</v>
      </c>
      <c r="J39" s="36">
        <v>3.0270000000000001</v>
      </c>
      <c r="K39" s="4">
        <f t="shared" si="1"/>
        <v>-2.8917740336967292E-3</v>
      </c>
      <c r="L39" s="3">
        <f t="shared" si="2"/>
        <v>-1.8146171238850346</v>
      </c>
      <c r="N39" s="2"/>
      <c r="V39" s="1"/>
    </row>
    <row r="40" spans="1:22" ht="15.5" x14ac:dyDescent="0.35">
      <c r="A40" s="27" t="s">
        <v>105</v>
      </c>
      <c r="B40" s="41">
        <v>-1.087</v>
      </c>
      <c r="C40" s="41">
        <v>7.9050000000000002</v>
      </c>
      <c r="D40" s="35">
        <f>8+((-1)*B40)-C40</f>
        <v>1.1819999999999995</v>
      </c>
      <c r="E40" s="35">
        <v>-1.083</v>
      </c>
      <c r="F40" s="35">
        <v>7.899</v>
      </c>
      <c r="G40" s="35">
        <f>8+((-1)*E40)-F40</f>
        <v>1.1840000000000002</v>
      </c>
      <c r="H40" s="7">
        <v>-7.6E-3</v>
      </c>
      <c r="I40" s="32">
        <v>2.8769999999999998</v>
      </c>
      <c r="J40" s="36">
        <v>2.8769999999999998</v>
      </c>
      <c r="K40" s="4">
        <f t="shared" si="1"/>
        <v>-3.1250608272506081E-3</v>
      </c>
      <c r="L40" s="3">
        <f t="shared" si="2"/>
        <v>-1.9610069197080291</v>
      </c>
      <c r="N40" s="2"/>
      <c r="V40" s="1"/>
    </row>
    <row r="41" spans="1:22" ht="15.5" x14ac:dyDescent="0.35">
      <c r="A41" s="27" t="s">
        <v>102</v>
      </c>
      <c r="B41" s="33">
        <v>-1.0920000000000001</v>
      </c>
      <c r="C41" s="33">
        <v>7.8979999999999997</v>
      </c>
      <c r="D41" s="32">
        <f>8+((-1)*B41)-C41</f>
        <v>1.1940000000000008</v>
      </c>
      <c r="E41" s="35">
        <v>0.60099999999999998</v>
      </c>
      <c r="F41" s="32">
        <v>6.2E-2</v>
      </c>
      <c r="G41" s="35">
        <f>1+((-1)*E41)-F41</f>
        <v>0.33700000000000002</v>
      </c>
      <c r="H41" s="7">
        <v>-2.93E-2</v>
      </c>
      <c r="I41" s="32">
        <v>2.3199999999999998</v>
      </c>
      <c r="J41" s="4">
        <v>1.254</v>
      </c>
      <c r="K41" s="4">
        <f t="shared" si="1"/>
        <v>-1.1476739743166698E-2</v>
      </c>
      <c r="L41" s="3">
        <f t="shared" si="2"/>
        <v>-7.2017689562345346</v>
      </c>
      <c r="N41" s="2"/>
      <c r="V41" s="1"/>
    </row>
    <row r="42" spans="1:22" ht="15.5" x14ac:dyDescent="0.35">
      <c r="A42" s="27" t="s">
        <v>101</v>
      </c>
      <c r="B42" s="33">
        <v>-1.1539999999999999</v>
      </c>
      <c r="C42" s="33">
        <v>8.1850000000000005</v>
      </c>
      <c r="D42" s="32">
        <f>8+((-1)*B42)-C42</f>
        <v>0.96899999999999942</v>
      </c>
      <c r="E42" s="35">
        <v>0.59799999999999998</v>
      </c>
      <c r="F42" s="32">
        <v>6.4000000000000001E-2</v>
      </c>
      <c r="G42" s="35">
        <f>1+((-1)*E42)-F42</f>
        <v>0.33800000000000002</v>
      </c>
      <c r="H42" s="7">
        <v>-2.4299999999999999E-2</v>
      </c>
      <c r="I42" s="32">
        <v>2.363</v>
      </c>
      <c r="J42" s="4">
        <v>1.3220000000000001</v>
      </c>
      <c r="K42" s="4">
        <f t="shared" si="1"/>
        <v>-8.088803752761782E-3</v>
      </c>
      <c r="L42" s="3">
        <f t="shared" si="2"/>
        <v>-5.0758052428955454</v>
      </c>
      <c r="N42" s="2"/>
      <c r="V42" s="1"/>
    </row>
    <row r="43" spans="1:22" ht="15.5" x14ac:dyDescent="0.35">
      <c r="A43" s="58" t="s">
        <v>103</v>
      </c>
      <c r="B43" s="60">
        <v>-1.1519999999999999</v>
      </c>
      <c r="C43" s="61">
        <v>8.4290000000000003</v>
      </c>
      <c r="D43" s="61">
        <f>8+((-1)*B43)-C43</f>
        <v>0.72299999999999898</v>
      </c>
      <c r="E43" s="35">
        <v>3.1899999999999998E-2</v>
      </c>
      <c r="F43" s="35">
        <v>0.41099999999999998</v>
      </c>
      <c r="G43" s="35">
        <f>1+((-1)*E43)-F43</f>
        <v>0.55709999999999993</v>
      </c>
      <c r="H43" s="7">
        <v>-6.7999999999999996E-3</v>
      </c>
      <c r="I43" s="32">
        <v>2.9289999999999998</v>
      </c>
      <c r="J43" s="4">
        <v>2.254</v>
      </c>
      <c r="K43" s="4">
        <f t="shared" si="1"/>
        <v>-1.6796085984084122E-3</v>
      </c>
      <c r="L43" s="3">
        <f t="shared" si="2"/>
        <v>-1.0539711915872627</v>
      </c>
      <c r="V43" s="1"/>
    </row>
    <row r="44" spans="1:22" x14ac:dyDescent="0.3">
      <c r="A44" s="28"/>
      <c r="B44" s="9"/>
      <c r="C44" s="10"/>
      <c r="D44" s="10"/>
      <c r="J44" s="4"/>
      <c r="K44" s="4"/>
      <c r="V44" s="1"/>
    </row>
    <row r="45" spans="1:22" x14ac:dyDescent="0.3">
      <c r="A45" s="28"/>
      <c r="B45" s="9"/>
      <c r="C45" s="10"/>
      <c r="D45" s="10"/>
      <c r="J45" s="4"/>
      <c r="K45" s="4"/>
      <c r="V45" s="1"/>
    </row>
    <row r="46" spans="1:22" x14ac:dyDescent="0.3">
      <c r="A46" s="29"/>
      <c r="D46" s="2"/>
      <c r="J46" s="4"/>
      <c r="K46" s="4"/>
      <c r="L46" s="3"/>
      <c r="N46" s="2"/>
      <c r="V46" s="1"/>
    </row>
    <row r="47" spans="1:22" x14ac:dyDescent="0.3">
      <c r="A47" s="29"/>
      <c r="D47" s="2"/>
      <c r="J47" s="4"/>
      <c r="K47" s="4"/>
      <c r="L47" s="3"/>
      <c r="N47" s="2"/>
      <c r="V47" s="1"/>
    </row>
    <row r="48" spans="1:22" x14ac:dyDescent="0.3">
      <c r="A48" s="29"/>
      <c r="J48" s="4"/>
      <c r="K48" s="4"/>
      <c r="L48" s="3"/>
      <c r="N48" s="2"/>
      <c r="V48" s="1"/>
    </row>
    <row r="49" spans="1:22" x14ac:dyDescent="0.3">
      <c r="D49" s="4"/>
      <c r="L49" s="4"/>
      <c r="U49" s="4"/>
      <c r="V49" s="3"/>
    </row>
    <row r="50" spans="1:22" x14ac:dyDescent="0.3">
      <c r="B50" s="31" t="s">
        <v>60</v>
      </c>
      <c r="C50" s="31" t="s">
        <v>61</v>
      </c>
      <c r="D50" s="30" t="s">
        <v>62</v>
      </c>
      <c r="E50" s="26"/>
      <c r="L50" s="4"/>
      <c r="N50" s="2"/>
      <c r="U50" s="4"/>
      <c r="V50" s="3"/>
    </row>
    <row r="51" spans="1:22" ht="15.5" x14ac:dyDescent="0.35">
      <c r="A51" t="s">
        <v>71</v>
      </c>
      <c r="B51" s="36">
        <v>2.202</v>
      </c>
      <c r="C51" s="36">
        <v>-0.65200000000000002</v>
      </c>
      <c r="D51" s="36">
        <v>0.34300000000000003</v>
      </c>
      <c r="E51" s="26"/>
      <c r="L51" s="4"/>
      <c r="N51" s="2"/>
      <c r="U51" s="4"/>
      <c r="V51" s="3"/>
    </row>
    <row r="52" spans="1:22" ht="15.5" x14ac:dyDescent="0.35">
      <c r="A52" s="9" t="s">
        <v>64</v>
      </c>
      <c r="B52" s="55">
        <v>1.972</v>
      </c>
      <c r="C52" s="55">
        <v>-0.10100000000000001</v>
      </c>
      <c r="D52" s="55">
        <v>0.27700000000000002</v>
      </c>
      <c r="E52" s="9"/>
      <c r="L52" s="1"/>
      <c r="N52" s="1"/>
      <c r="O52" s="1"/>
      <c r="U52" s="4"/>
      <c r="V52" s="3"/>
    </row>
    <row r="53" spans="1:22" ht="15.5" x14ac:dyDescent="0.35">
      <c r="A53" t="s">
        <v>65</v>
      </c>
      <c r="B53" s="36">
        <v>2.1960000000000002</v>
      </c>
      <c r="C53" s="36">
        <v>-0.32600000000000001</v>
      </c>
      <c r="D53" s="36">
        <v>0.39300000000000002</v>
      </c>
      <c r="O53" s="3"/>
      <c r="U53" s="4"/>
      <c r="V53" s="3"/>
    </row>
    <row r="54" spans="1:22" ht="15.5" x14ac:dyDescent="0.35">
      <c r="A54" t="s">
        <v>66</v>
      </c>
      <c r="B54" s="36">
        <v>2.456</v>
      </c>
      <c r="C54" s="36">
        <v>-0.56100000000000005</v>
      </c>
      <c r="D54" s="36">
        <v>7.5999999999999998E-2</v>
      </c>
      <c r="O54" s="3"/>
      <c r="U54" s="4"/>
      <c r="V54" s="3"/>
    </row>
    <row r="55" spans="1:22" ht="15.5" x14ac:dyDescent="0.35">
      <c r="A55" t="s">
        <v>67</v>
      </c>
      <c r="B55" s="36">
        <v>2.2850000000000001</v>
      </c>
      <c r="C55" s="36">
        <v>0.11899999999999999</v>
      </c>
      <c r="D55" s="36">
        <v>8.5999999999999993E-2</v>
      </c>
      <c r="O55" s="3"/>
      <c r="U55" s="4"/>
      <c r="V55" s="3"/>
    </row>
    <row r="56" spans="1:22" ht="15.5" x14ac:dyDescent="0.35">
      <c r="A56" s="9" t="s">
        <v>68</v>
      </c>
      <c r="B56" s="55">
        <v>2.5819999999999999</v>
      </c>
      <c r="C56" s="55">
        <v>-0.34399999999999997</v>
      </c>
      <c r="D56" s="55">
        <v>-0.155</v>
      </c>
      <c r="E56" s="9"/>
      <c r="O56" s="3"/>
    </row>
    <row r="57" spans="1:22" ht="15.5" x14ac:dyDescent="0.35">
      <c r="A57" t="s">
        <v>70</v>
      </c>
      <c r="B57" s="36">
        <v>1.8979999999999999</v>
      </c>
      <c r="C57" s="36">
        <v>-0.41599999999999998</v>
      </c>
      <c r="D57" s="36">
        <v>0.35799999999999998</v>
      </c>
      <c r="O57" s="3"/>
    </row>
    <row r="58" spans="1:22" ht="15.5" x14ac:dyDescent="0.35">
      <c r="A58" t="s">
        <v>69</v>
      </c>
      <c r="B58" s="36">
        <v>2.149</v>
      </c>
      <c r="C58" s="36">
        <v>5.5E-2</v>
      </c>
      <c r="D58" s="36">
        <v>0.14699999999999999</v>
      </c>
      <c r="O58" s="3"/>
    </row>
    <row r="59" spans="1:22" ht="15.5" x14ac:dyDescent="0.35">
      <c r="A59" t="s">
        <v>72</v>
      </c>
      <c r="B59" s="52">
        <v>2.2229999999999999</v>
      </c>
      <c r="C59" s="52">
        <v>-0.77600000000000002</v>
      </c>
      <c r="D59" s="52">
        <v>0.89200000000000002</v>
      </c>
      <c r="E59" s="11"/>
      <c r="K59" s="4"/>
      <c r="O59" s="3"/>
    </row>
    <row r="60" spans="1:22" ht="15.5" x14ac:dyDescent="0.35">
      <c r="A60" s="27" t="s">
        <v>73</v>
      </c>
      <c r="B60" s="36">
        <v>2.7080000000000002</v>
      </c>
      <c r="C60" s="36">
        <v>-0.43099999999999999</v>
      </c>
      <c r="D60" s="36">
        <v>0.315</v>
      </c>
      <c r="E60" s="3"/>
      <c r="K60" s="4"/>
      <c r="L60" s="3"/>
      <c r="O60" s="3"/>
    </row>
    <row r="61" spans="1:22" ht="15.5" x14ac:dyDescent="0.35">
      <c r="A61" s="27" t="s">
        <v>74</v>
      </c>
      <c r="B61" s="55">
        <v>2.4169999999999998</v>
      </c>
      <c r="C61" s="55">
        <v>-0.42699999999999999</v>
      </c>
      <c r="D61" s="55">
        <v>1.6E-2</v>
      </c>
      <c r="E61" s="3"/>
      <c r="K61" s="4"/>
      <c r="L61" s="3"/>
      <c r="O61" s="6"/>
    </row>
    <row r="62" spans="1:22" ht="15.5" x14ac:dyDescent="0.35">
      <c r="A62" s="39" t="s">
        <v>78</v>
      </c>
      <c r="B62" s="53">
        <v>2.7069999999999999</v>
      </c>
      <c r="C62" s="53">
        <v>-1.365</v>
      </c>
      <c r="D62" s="36">
        <v>-7.1999999999999995E-2</v>
      </c>
      <c r="E62" s="3"/>
      <c r="K62" s="4"/>
      <c r="L62" s="3"/>
      <c r="O62" s="6"/>
    </row>
    <row r="63" spans="1:22" ht="15.5" x14ac:dyDescent="0.35">
      <c r="A63" s="39" t="s">
        <v>79</v>
      </c>
      <c r="B63" s="51">
        <v>2.5990000000000002</v>
      </c>
      <c r="C63" s="54">
        <v>-6.5000000000000002E-2</v>
      </c>
      <c r="D63" s="52">
        <v>0.49399999999999999</v>
      </c>
      <c r="E63" s="3"/>
      <c r="K63" s="4"/>
      <c r="L63" s="3"/>
      <c r="O63" s="6"/>
    </row>
    <row r="64" spans="1:22" ht="15.5" x14ac:dyDescent="0.35">
      <c r="A64" s="46" t="s">
        <v>80</v>
      </c>
      <c r="B64" s="51">
        <v>1.954</v>
      </c>
      <c r="C64" s="54">
        <v>-0.66800000000000004</v>
      </c>
      <c r="D64" s="52">
        <v>0.51100000000000001</v>
      </c>
      <c r="E64" s="3"/>
      <c r="K64" s="4"/>
      <c r="L64" s="3"/>
      <c r="O64" s="6"/>
    </row>
    <row r="65" spans="1:15" ht="15.5" x14ac:dyDescent="0.35">
      <c r="A65" s="46" t="s">
        <v>81</v>
      </c>
      <c r="B65" s="54">
        <v>2.7040000000000002</v>
      </c>
      <c r="C65" s="54">
        <v>-0.66800000000000004</v>
      </c>
      <c r="D65" s="52">
        <v>-7.1999999999999995E-2</v>
      </c>
      <c r="E65" s="3"/>
      <c r="K65" s="4"/>
      <c r="L65" s="3"/>
    </row>
    <row r="66" spans="1:15" ht="15.5" x14ac:dyDescent="0.35">
      <c r="A66" s="46" t="s">
        <v>82</v>
      </c>
      <c r="B66" s="54">
        <v>2.222</v>
      </c>
      <c r="C66" s="51">
        <v>4.1000000000000003E-3</v>
      </c>
      <c r="D66" s="52">
        <v>0.51800000000000002</v>
      </c>
      <c r="E66" s="3"/>
      <c r="K66" s="4"/>
      <c r="L66" s="3"/>
    </row>
    <row r="67" spans="1:15" ht="15.5" x14ac:dyDescent="0.35">
      <c r="A67" s="34" t="s">
        <v>83</v>
      </c>
      <c r="B67" s="54">
        <v>2.726</v>
      </c>
      <c r="C67" s="54">
        <v>-1.6259999999999999</v>
      </c>
      <c r="D67" s="52">
        <v>6.7000000000000004E-2</v>
      </c>
      <c r="E67" s="11"/>
      <c r="K67" s="4"/>
      <c r="L67" s="11"/>
    </row>
    <row r="68" spans="1:15" ht="15.5" x14ac:dyDescent="0.35">
      <c r="A68" s="34" t="s">
        <v>84</v>
      </c>
      <c r="B68" s="54">
        <v>2.089</v>
      </c>
      <c r="C68" s="54">
        <v>-0.94699999999999995</v>
      </c>
      <c r="D68" s="52">
        <v>0.69499999999999995</v>
      </c>
      <c r="E68" s="11"/>
      <c r="K68" s="4"/>
      <c r="L68" s="11"/>
    </row>
    <row r="69" spans="1:15" ht="15.5" x14ac:dyDescent="0.35">
      <c r="A69" s="34" t="s">
        <v>85</v>
      </c>
      <c r="B69" s="53">
        <v>2.5489999999999999</v>
      </c>
      <c r="C69" s="54">
        <v>-0.94699999999999995</v>
      </c>
      <c r="D69" s="52">
        <v>0.10299999999999999</v>
      </c>
    </row>
    <row r="70" spans="1:15" ht="15.5" x14ac:dyDescent="0.35">
      <c r="A70" s="34" t="s">
        <v>75</v>
      </c>
      <c r="B70" s="35">
        <v>3.12</v>
      </c>
      <c r="C70" s="35">
        <v>-2.2000000000000001E-3</v>
      </c>
      <c r="D70" s="36">
        <v>0.154</v>
      </c>
      <c r="L70" s="1"/>
    </row>
    <row r="71" spans="1:15" ht="15.5" x14ac:dyDescent="0.35">
      <c r="A71" s="34" t="s">
        <v>86</v>
      </c>
      <c r="B71" s="35">
        <v>2.81</v>
      </c>
      <c r="C71" s="35">
        <v>-0.12</v>
      </c>
      <c r="D71" s="35">
        <v>0.76500000000000001</v>
      </c>
      <c r="O71" s="2"/>
    </row>
    <row r="72" spans="1:15" ht="15.5" x14ac:dyDescent="0.35">
      <c r="A72" s="34" t="s">
        <v>87</v>
      </c>
      <c r="B72" s="35">
        <v>2.54</v>
      </c>
      <c r="C72" s="35">
        <v>-0.78500000000000003</v>
      </c>
      <c r="D72" s="35">
        <v>0</v>
      </c>
      <c r="O72" s="2"/>
    </row>
    <row r="73" spans="1:15" ht="15.5" x14ac:dyDescent="0.35">
      <c r="A73" s="39" t="s">
        <v>88</v>
      </c>
      <c r="B73" s="35">
        <v>1.9350000000000001</v>
      </c>
      <c r="C73" s="35">
        <v>-0.46500000000000002</v>
      </c>
      <c r="D73" s="35">
        <v>0.35899999999999999</v>
      </c>
      <c r="O73" s="2"/>
    </row>
    <row r="74" spans="1:15" ht="15.5" x14ac:dyDescent="0.35">
      <c r="A74" s="39" t="s">
        <v>89</v>
      </c>
      <c r="B74" s="35">
        <v>2.4550000000000001</v>
      </c>
      <c r="C74" s="35">
        <v>-0.82799999999999996</v>
      </c>
      <c r="D74" s="35">
        <v>0.06</v>
      </c>
      <c r="I74" s="1"/>
      <c r="J74" s="1"/>
      <c r="K74" s="1"/>
      <c r="O74" s="2"/>
    </row>
    <row r="75" spans="1:15" ht="15.5" x14ac:dyDescent="0.35">
      <c r="A75" s="39" t="s">
        <v>94</v>
      </c>
      <c r="B75" s="53">
        <v>2.8010000000000002</v>
      </c>
      <c r="C75" s="53">
        <v>0.36699999999999999</v>
      </c>
      <c r="D75" s="35">
        <v>-0.224</v>
      </c>
      <c r="F75" s="4"/>
      <c r="G75" s="12"/>
      <c r="H75" s="4"/>
      <c r="I75" s="4"/>
      <c r="K75" s="3"/>
      <c r="O75" s="2"/>
    </row>
    <row r="76" spans="1:15" ht="15.5" x14ac:dyDescent="0.35">
      <c r="A76" s="39" t="s">
        <v>90</v>
      </c>
      <c r="B76" s="53">
        <v>1.7130000000000001</v>
      </c>
      <c r="C76" s="53">
        <v>-0.63100000000000001</v>
      </c>
      <c r="D76" s="35">
        <v>0.54600000000000004</v>
      </c>
      <c r="F76" s="4"/>
      <c r="G76" s="12"/>
      <c r="H76" s="4"/>
      <c r="I76" s="4"/>
      <c r="K76" s="3"/>
      <c r="O76" s="2"/>
    </row>
    <row r="77" spans="1:15" ht="15.5" x14ac:dyDescent="0.35">
      <c r="A77" s="39" t="s">
        <v>91</v>
      </c>
      <c r="B77" s="53">
        <v>2.8620000000000001</v>
      </c>
      <c r="C77" s="53">
        <v>-0.219</v>
      </c>
      <c r="D77" s="35">
        <v>1E-3</v>
      </c>
      <c r="F77" s="4"/>
      <c r="G77" s="12"/>
      <c r="H77" s="4"/>
      <c r="I77" s="4"/>
      <c r="K77" s="3"/>
      <c r="O77" s="2"/>
    </row>
    <row r="78" spans="1:15" ht="15.5" x14ac:dyDescent="0.35">
      <c r="A78" s="39" t="s">
        <v>92</v>
      </c>
      <c r="B78" s="35">
        <v>2.09</v>
      </c>
      <c r="C78" s="53">
        <v>9.4E-2</v>
      </c>
      <c r="D78" s="35">
        <v>1E-3</v>
      </c>
      <c r="F78" s="4"/>
      <c r="G78" s="12"/>
      <c r="H78" s="4"/>
      <c r="I78" s="4"/>
      <c r="K78" s="3"/>
      <c r="O78" s="2"/>
    </row>
    <row r="79" spans="1:15" ht="15.5" x14ac:dyDescent="0.35">
      <c r="A79" s="39" t="s">
        <v>93</v>
      </c>
      <c r="B79" s="51">
        <v>3.51</v>
      </c>
      <c r="C79" s="54">
        <v>-1.2999999999999999E-2</v>
      </c>
      <c r="D79" s="56">
        <v>6.0000000000000001E-3</v>
      </c>
      <c r="F79" s="4"/>
      <c r="G79" s="12"/>
      <c r="H79" s="4"/>
      <c r="I79" s="4"/>
      <c r="K79" s="3"/>
      <c r="O79" s="2"/>
    </row>
    <row r="80" spans="1:15" ht="15.5" x14ac:dyDescent="0.3">
      <c r="A80" s="27" t="s">
        <v>95</v>
      </c>
      <c r="B80" s="59">
        <v>2.0630000000000002</v>
      </c>
      <c r="C80" s="59">
        <v>-0.44</v>
      </c>
      <c r="D80" s="59">
        <v>0.38200000000000001</v>
      </c>
      <c r="O80" s="5"/>
    </row>
    <row r="81" spans="1:9" ht="15.5" x14ac:dyDescent="0.3">
      <c r="A81" s="27" t="s">
        <v>96</v>
      </c>
      <c r="B81" s="9">
        <v>1.6879999999999999</v>
      </c>
      <c r="C81" s="59">
        <v>-1.0389999999999999</v>
      </c>
      <c r="D81" s="59">
        <v>0.41199999999999998</v>
      </c>
    </row>
    <row r="82" spans="1:9" ht="15.5" x14ac:dyDescent="0.3">
      <c r="A82" s="27" t="s">
        <v>98</v>
      </c>
      <c r="B82" s="59">
        <v>2.0699999999999998</v>
      </c>
      <c r="C82" s="59">
        <v>-0.13600000000000001</v>
      </c>
      <c r="D82" s="59">
        <v>0.26200000000000001</v>
      </c>
    </row>
    <row r="83" spans="1:9" ht="15.5" x14ac:dyDescent="0.3">
      <c r="A83" s="27" t="s">
        <v>97</v>
      </c>
      <c r="B83" s="59">
        <v>1.92</v>
      </c>
      <c r="C83" s="59">
        <v>-0.55000000000000004</v>
      </c>
      <c r="D83" s="59">
        <v>0.33100000000000002</v>
      </c>
    </row>
    <row r="84" spans="1:9" ht="15.5" x14ac:dyDescent="0.3">
      <c r="A84" s="27" t="s">
        <v>99</v>
      </c>
      <c r="B84" s="9">
        <v>2.5430000000000001</v>
      </c>
      <c r="C84" s="9">
        <v>-0.58399999999999996</v>
      </c>
      <c r="D84" s="59">
        <v>0.13200000000000001</v>
      </c>
    </row>
    <row r="85" spans="1:9" ht="15.5" x14ac:dyDescent="0.3">
      <c r="A85" s="27" t="s">
        <v>104</v>
      </c>
      <c r="B85" s="59">
        <v>3.1720000000000002</v>
      </c>
      <c r="C85" s="59">
        <v>0.82</v>
      </c>
      <c r="D85" s="59">
        <v>0.83</v>
      </c>
    </row>
    <row r="86" spans="1:9" ht="15.5" x14ac:dyDescent="0.3">
      <c r="A86" s="27" t="s">
        <v>105</v>
      </c>
      <c r="B86" s="59">
        <v>3.0430000000000001</v>
      </c>
      <c r="C86" s="59">
        <v>-0.377</v>
      </c>
      <c r="D86" s="59">
        <v>-0.38200000000000001</v>
      </c>
    </row>
    <row r="87" spans="1:9" ht="15.5" x14ac:dyDescent="0.3">
      <c r="A87" s="27" t="s">
        <v>100</v>
      </c>
      <c r="B87" s="59">
        <v>1.8660000000000001</v>
      </c>
      <c r="C87" s="59">
        <v>-0.42199999999999999</v>
      </c>
      <c r="D87" s="59">
        <v>0.40400000000000003</v>
      </c>
    </row>
    <row r="88" spans="1:9" ht="15.5" x14ac:dyDescent="0.3">
      <c r="A88" s="27" t="s">
        <v>101</v>
      </c>
      <c r="B88" s="9">
        <v>1.9219999999999999</v>
      </c>
      <c r="C88" s="59">
        <v>-0.56399999999999995</v>
      </c>
      <c r="D88" s="59">
        <v>0.36699999999999999</v>
      </c>
    </row>
    <row r="89" spans="1:9" x14ac:dyDescent="0.3">
      <c r="A89" s="58" t="s">
        <v>103</v>
      </c>
      <c r="B89" s="59">
        <v>2.6419999999999999</v>
      </c>
      <c r="C89" s="59">
        <v>-0.87</v>
      </c>
      <c r="D89" s="59">
        <v>1.2999999999999999E-2</v>
      </c>
    </row>
    <row r="90" spans="1:9" ht="14.5" thickBot="1" x14ac:dyDescent="0.35">
      <c r="B90" s="3"/>
      <c r="C90" s="2"/>
    </row>
    <row r="91" spans="1:9" ht="15.5" x14ac:dyDescent="0.3">
      <c r="A91" s="1"/>
      <c r="C91" s="2"/>
      <c r="D91" s="1"/>
      <c r="E91" s="2"/>
      <c r="G91" s="18"/>
      <c r="H91" s="18"/>
      <c r="I91" s="7"/>
    </row>
    <row r="92" spans="1:9" ht="15.5" x14ac:dyDescent="0.3">
      <c r="C92" s="2"/>
      <c r="E92" s="2"/>
      <c r="G92" s="19"/>
      <c r="H92" s="19"/>
      <c r="I92" s="7"/>
    </row>
    <row r="93" spans="1:9" ht="15.5" x14ac:dyDescent="0.3">
      <c r="C93" s="2"/>
      <c r="E93" s="2"/>
      <c r="G93" s="19"/>
      <c r="H93" s="19"/>
      <c r="I93" s="7"/>
    </row>
    <row r="94" spans="1:9" ht="15.5" x14ac:dyDescent="0.3">
      <c r="A94" s="9"/>
      <c r="C94" s="2"/>
      <c r="E94" s="2"/>
      <c r="G94" s="19"/>
      <c r="H94" s="19"/>
      <c r="I94" s="7"/>
    </row>
    <row r="95" spans="1:9" ht="15.5" x14ac:dyDescent="0.3">
      <c r="A95" s="9"/>
      <c r="C95" s="2"/>
      <c r="E95" s="2"/>
      <c r="G95" s="19"/>
      <c r="H95" s="19"/>
      <c r="I95" s="7"/>
    </row>
    <row r="96" spans="1:9" ht="15.5" x14ac:dyDescent="0.3">
      <c r="C96" s="2"/>
      <c r="E96" s="2"/>
      <c r="G96" s="19"/>
      <c r="H96" s="19"/>
      <c r="I96" s="7"/>
    </row>
    <row r="97" spans="1:9" ht="15.5" x14ac:dyDescent="0.3">
      <c r="C97" s="2"/>
      <c r="E97" s="2"/>
      <c r="G97" s="19"/>
      <c r="H97" s="19"/>
      <c r="I97" s="7"/>
    </row>
    <row r="98" spans="1:9" ht="15.5" x14ac:dyDescent="0.3">
      <c r="C98" s="4"/>
      <c r="E98" s="2"/>
      <c r="G98" s="19"/>
      <c r="H98" s="19"/>
      <c r="I98" s="7"/>
    </row>
    <row r="99" spans="1:9" ht="15.5" x14ac:dyDescent="0.3">
      <c r="A99" s="9"/>
      <c r="B99" s="9"/>
      <c r="E99" s="2"/>
      <c r="G99" s="19"/>
      <c r="H99" s="19"/>
      <c r="I99" s="7"/>
    </row>
    <row r="100" spans="1:9" ht="16" thickBot="1" x14ac:dyDescent="0.35">
      <c r="A100" s="9"/>
      <c r="B100" s="9"/>
      <c r="E100" s="2"/>
      <c r="G100" s="20"/>
      <c r="H100" s="20"/>
      <c r="I100" s="7"/>
    </row>
    <row r="101" spans="1:9" ht="15.5" x14ac:dyDescent="0.3">
      <c r="E101" s="2"/>
      <c r="G101" s="19"/>
      <c r="H101" s="19"/>
      <c r="I101" s="7"/>
    </row>
    <row r="102" spans="1:9" ht="15.5" x14ac:dyDescent="0.3">
      <c r="G102" s="19"/>
      <c r="H102" s="19"/>
      <c r="I102" s="7"/>
    </row>
    <row r="103" spans="1:9" ht="15.5" x14ac:dyDescent="0.3">
      <c r="G103" s="19"/>
      <c r="H103" s="19"/>
      <c r="I103" s="7"/>
    </row>
    <row r="104" spans="1:9" ht="16" thickBot="1" x14ac:dyDescent="0.35">
      <c r="G104" s="20"/>
      <c r="H104" s="20"/>
      <c r="I104" s="7"/>
    </row>
    <row r="105" spans="1:9" x14ac:dyDescent="0.3">
      <c r="A105" s="9"/>
      <c r="B105" s="9"/>
      <c r="D105" s="9"/>
      <c r="E105" s="10"/>
    </row>
    <row r="106" spans="1:9" x14ac:dyDescent="0.3">
      <c r="A106" s="9"/>
      <c r="B106" s="9"/>
      <c r="D106" s="9"/>
      <c r="E106" s="10"/>
    </row>
    <row r="107" spans="1:9" x14ac:dyDescent="0.3">
      <c r="A107" s="9"/>
      <c r="B107" s="10"/>
      <c r="D107" s="9"/>
      <c r="E107" s="10"/>
    </row>
    <row r="108" spans="1:9" x14ac:dyDescent="0.3">
      <c r="A108" s="9"/>
      <c r="B108" s="10"/>
      <c r="D108" s="9"/>
      <c r="E108" s="10"/>
    </row>
    <row r="109" spans="1:9" x14ac:dyDescent="0.3">
      <c r="C109" s="2"/>
    </row>
    <row r="110" spans="1:9" x14ac:dyDescent="0.3">
      <c r="C110" s="2"/>
    </row>
    <row r="111" spans="1:9" x14ac:dyDescent="0.3">
      <c r="C111" s="2"/>
    </row>
    <row r="112" spans="1:9" x14ac:dyDescent="0.3">
      <c r="C112" s="2"/>
    </row>
    <row r="113" spans="1:3" x14ac:dyDescent="0.3">
      <c r="C113" s="3"/>
    </row>
    <row r="114" spans="1:3" x14ac:dyDescent="0.3">
      <c r="C114" s="3"/>
    </row>
    <row r="115" spans="1:3" x14ac:dyDescent="0.3">
      <c r="A115" s="1"/>
      <c r="C115" s="3"/>
    </row>
    <row r="116" spans="1:3" x14ac:dyDescent="0.3">
      <c r="C116" s="4"/>
    </row>
    <row r="117" spans="1:3" x14ac:dyDescent="0.3">
      <c r="C117" s="4"/>
    </row>
    <row r="118" spans="1:3" x14ac:dyDescent="0.3">
      <c r="C118" s="4"/>
    </row>
    <row r="119" spans="1:3" x14ac:dyDescent="0.3">
      <c r="C119" s="4"/>
    </row>
    <row r="120" spans="1:3" x14ac:dyDescent="0.3">
      <c r="C120" s="4"/>
    </row>
    <row r="121" spans="1:3" x14ac:dyDescent="0.3">
      <c r="C121" s="4"/>
    </row>
    <row r="122" spans="1:3" x14ac:dyDescent="0.3">
      <c r="C122" s="4"/>
    </row>
    <row r="123" spans="1:3" x14ac:dyDescent="0.3">
      <c r="C123" s="4"/>
    </row>
    <row r="124" spans="1:3" x14ac:dyDescent="0.3">
      <c r="C124" s="4"/>
    </row>
    <row r="125" spans="1:3" x14ac:dyDescent="0.3">
      <c r="C125" s="4"/>
    </row>
    <row r="126" spans="1:3" x14ac:dyDescent="0.3">
      <c r="A126" s="9"/>
      <c r="B126" s="9"/>
      <c r="C126" s="4"/>
    </row>
    <row r="127" spans="1:3" x14ac:dyDescent="0.3">
      <c r="A127" s="9"/>
      <c r="B127" s="10"/>
      <c r="C127" s="4"/>
    </row>
    <row r="128" spans="1:3" x14ac:dyDescent="0.3">
      <c r="A128" s="9"/>
      <c r="B128" s="10"/>
      <c r="C128" s="4"/>
    </row>
    <row r="129" spans="1:5" x14ac:dyDescent="0.3">
      <c r="A129" s="9"/>
      <c r="B129" s="9"/>
      <c r="C129" s="4"/>
    </row>
    <row r="134" spans="1:5" x14ac:dyDescent="0.3">
      <c r="B134" s="2"/>
      <c r="C134" s="2"/>
      <c r="D134" s="7"/>
      <c r="E134" s="2"/>
    </row>
    <row r="135" spans="1:5" x14ac:dyDescent="0.3">
      <c r="B135" s="2"/>
      <c r="C135" s="2"/>
      <c r="D135" s="7"/>
      <c r="E135" s="2"/>
    </row>
    <row r="136" spans="1:5" x14ac:dyDescent="0.3">
      <c r="B136" s="2"/>
      <c r="C136" s="2"/>
      <c r="D136" s="7"/>
      <c r="E136" s="2"/>
    </row>
    <row r="137" spans="1:5" x14ac:dyDescent="0.3">
      <c r="B137" s="2"/>
      <c r="C137" s="2"/>
      <c r="D137" s="7"/>
      <c r="E137" s="2"/>
    </row>
    <row r="138" spans="1:5" x14ac:dyDescent="0.3">
      <c r="B138" s="2"/>
      <c r="C138" s="2"/>
      <c r="D138" s="7"/>
      <c r="E138" s="2"/>
    </row>
    <row r="139" spans="1:5" x14ac:dyDescent="0.3">
      <c r="B139" s="2"/>
      <c r="C139" s="2"/>
      <c r="D139" s="7"/>
      <c r="E139" s="2"/>
    </row>
    <row r="140" spans="1:5" x14ac:dyDescent="0.3">
      <c r="B140" s="2"/>
      <c r="C140" s="2"/>
      <c r="D140" s="7"/>
      <c r="E140" s="2"/>
    </row>
    <row r="141" spans="1:5" x14ac:dyDescent="0.3">
      <c r="B141" s="2"/>
      <c r="C141" s="2"/>
      <c r="D141" s="7"/>
      <c r="E141" s="2"/>
    </row>
    <row r="142" spans="1:5" x14ac:dyDescent="0.3">
      <c r="B142" s="2"/>
      <c r="C142" s="2"/>
      <c r="D142" s="7"/>
      <c r="E142" s="2"/>
    </row>
    <row r="143" spans="1:5" x14ac:dyDescent="0.3">
      <c r="B143" s="2"/>
      <c r="C143" s="2"/>
      <c r="D143" s="7"/>
      <c r="E143" s="2"/>
    </row>
    <row r="144" spans="1:5" x14ac:dyDescent="0.3">
      <c r="A144" s="9"/>
      <c r="C144" s="10"/>
      <c r="D144" s="7"/>
      <c r="E144" s="2"/>
    </row>
    <row r="145" spans="1:5" x14ac:dyDescent="0.3">
      <c r="A145" s="9"/>
      <c r="B145" s="2"/>
      <c r="C145" s="10"/>
      <c r="D145" s="7"/>
      <c r="E145" s="2"/>
    </row>
    <row r="146" spans="1:5" x14ac:dyDescent="0.3">
      <c r="A146" s="9"/>
      <c r="B146" s="2"/>
      <c r="C146" s="10"/>
      <c r="D146" s="7"/>
      <c r="E146" s="2"/>
    </row>
    <row r="147" spans="1:5" x14ac:dyDescent="0.3">
      <c r="A147" s="9"/>
      <c r="C147" s="10"/>
      <c r="D147" s="7"/>
      <c r="E147" s="2"/>
    </row>
    <row r="148" spans="1:5" x14ac:dyDescent="0.3">
      <c r="E148" s="2"/>
    </row>
    <row r="151" spans="1:5" x14ac:dyDescent="0.3">
      <c r="A151" s="1"/>
    </row>
    <row r="152" spans="1:5" x14ac:dyDescent="0.3">
      <c r="B152" s="7"/>
      <c r="C152" s="7"/>
      <c r="D152" s="21"/>
    </row>
    <row r="153" spans="1:5" x14ac:dyDescent="0.3">
      <c r="B153" s="7"/>
      <c r="C153" s="7"/>
      <c r="D153" s="21"/>
    </row>
    <row r="154" spans="1:5" x14ac:dyDescent="0.3">
      <c r="B154" s="7"/>
      <c r="C154" s="7"/>
      <c r="D154" s="21"/>
    </row>
    <row r="155" spans="1:5" x14ac:dyDescent="0.3">
      <c r="B155" s="7"/>
      <c r="C155" s="7"/>
      <c r="D155" s="21"/>
    </row>
    <row r="156" spans="1:5" x14ac:dyDescent="0.3">
      <c r="B156" s="7"/>
      <c r="C156" s="7"/>
      <c r="D156" s="21"/>
    </row>
    <row r="157" spans="1:5" x14ac:dyDescent="0.3">
      <c r="B157" s="7"/>
      <c r="C157" s="7"/>
      <c r="D157" s="21"/>
    </row>
    <row r="158" spans="1:5" x14ac:dyDescent="0.3">
      <c r="B158" s="7"/>
      <c r="C158" s="7"/>
      <c r="D158" s="21"/>
    </row>
    <row r="159" spans="1:5" x14ac:dyDescent="0.3">
      <c r="B159" s="7"/>
      <c r="C159" s="7"/>
      <c r="D159" s="21"/>
    </row>
    <row r="160" spans="1:5" x14ac:dyDescent="0.3">
      <c r="B160" s="7"/>
      <c r="C160" s="7"/>
      <c r="D160" s="21"/>
    </row>
    <row r="161" spans="1:4" x14ac:dyDescent="0.3">
      <c r="B161" s="7"/>
      <c r="C161" s="7"/>
      <c r="D161" s="21"/>
    </row>
    <row r="162" spans="1:4" x14ac:dyDescent="0.3">
      <c r="A162" s="9"/>
      <c r="B162" s="4"/>
      <c r="C162" s="7"/>
      <c r="D162" s="21"/>
    </row>
    <row r="163" spans="1:4" x14ac:dyDescent="0.3">
      <c r="A163" s="9"/>
      <c r="B163" s="4"/>
      <c r="C163" s="7"/>
      <c r="D163" s="21"/>
    </row>
    <row r="164" spans="1:4" x14ac:dyDescent="0.3">
      <c r="A164" s="9"/>
      <c r="B164" s="4"/>
      <c r="C164" s="7"/>
      <c r="D164" s="21"/>
    </row>
    <row r="165" spans="1:4" x14ac:dyDescent="0.3">
      <c r="A165" s="9"/>
      <c r="B165" s="4"/>
      <c r="C165" s="7"/>
      <c r="D165" s="21"/>
    </row>
  </sheetData>
  <sheetProtection selectLockedCells="1" selectUnlockedCells="1"/>
  <pageMargins left="0.75" right="0.75" top="1" bottom="1" header="0.51180555555555551" footer="0.5118055555555555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SME - wB97XD</vt:lpstr>
      <vt:lpstr>LPE - wB97XD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Caio Firme</dc:creator>
  <cp:keywords/>
  <dc:description/>
  <cp:lastModifiedBy>Caio Firme</cp:lastModifiedBy>
  <cp:revision>3</cp:revision>
  <dcterms:created xsi:type="dcterms:W3CDTF">2017-10-23T10:15:50Z</dcterms:created>
  <dcterms:modified xsi:type="dcterms:W3CDTF">2024-08-11T18:53:08Z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1046-11.2.0.9281</vt:lpwstr>
  </property>
</Properties>
</file>