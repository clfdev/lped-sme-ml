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Trabalhos 2020\ML-LPED\Versão-2.9-padrao\"/>
    </mc:Choice>
  </mc:AlternateContent>
  <xr:revisionPtr revIDLastSave="0" documentId="13_ncr:1_{A6AD81A0-637D-4549-8286-A551950F1F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7" i="1"/>
  <c r="H16" i="1"/>
  <c r="H17" i="1"/>
  <c r="H18" i="1"/>
  <c r="H19" i="1"/>
  <c r="H20" i="1"/>
  <c r="H21" i="1"/>
  <c r="H22" i="1"/>
  <c r="H23" i="1"/>
  <c r="H24" i="1"/>
  <c r="H15" i="1"/>
  <c r="E16" i="1"/>
  <c r="E17" i="1"/>
  <c r="E18" i="1"/>
  <c r="E19" i="1"/>
  <c r="E20" i="1"/>
  <c r="E21" i="1"/>
  <c r="E22" i="1"/>
  <c r="E23" i="1"/>
  <c r="E24" i="1"/>
  <c r="E15" i="1"/>
  <c r="D26" i="1"/>
  <c r="D17" i="1"/>
  <c r="D18" i="1"/>
  <c r="D19" i="1"/>
  <c r="D20" i="1"/>
  <c r="D21" i="1"/>
  <c r="D22" i="1"/>
  <c r="D23" i="1"/>
  <c r="D24" i="1"/>
  <c r="D16" i="1"/>
  <c r="D15" i="1"/>
</calcChain>
</file>

<file path=xl/sharedStrings.xml><?xml version="1.0" encoding="utf-8"?>
<sst xmlns="http://schemas.openxmlformats.org/spreadsheetml/2006/main" count="34" uniqueCount="22">
  <si>
    <t>Complex</t>
  </si>
  <si>
    <t>Interatomic distance</t>
  </si>
  <si>
    <t>Atomic charge A</t>
  </si>
  <si>
    <t>Atomic charge B</t>
  </si>
  <si>
    <t>Predicted_LPED</t>
  </si>
  <si>
    <t>Predicted_SME</t>
  </si>
  <si>
    <t>N-H (propanenitrile-water)</t>
  </si>
  <si>
    <t>O-H (methylammonium-water)</t>
  </si>
  <si>
    <t>O(a)-H (methyl acetate-water)</t>
  </si>
  <si>
    <t>O(b)-H (methyl acetate-water)</t>
  </si>
  <si>
    <t>O(b)-H (methyl acetate-dimer) (avg)</t>
  </si>
  <si>
    <t>C(b)-C(b) (methyl acetate-dimer)</t>
  </si>
  <si>
    <t>O(a)-O(a) (methyl acetate-dimer)</t>
  </si>
  <si>
    <t>O-H (diethyl ether - water)</t>
  </si>
  <si>
    <t>O-H (2-pentanone-water)</t>
  </si>
  <si>
    <t>O-HC (2-pentanone-water)</t>
  </si>
  <si>
    <t>Actual_LPED</t>
  </si>
  <si>
    <t>Abs_diff</t>
  </si>
  <si>
    <t>Sqr_diff</t>
  </si>
  <si>
    <t xml:space="preserve">MAE = </t>
  </si>
  <si>
    <t>MSE =</t>
  </si>
  <si>
    <t xml:space="preserve">RMSE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</si>
</sst>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1215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C15" workbookViewId="0">
      <selection activeCell="F29" sqref="F29"/>
    </sheetView>
  </sheetViews>
  <sheetFormatPr defaultRowHeight="14.5" x14ac:dyDescent="0.35"/>
  <cols>
    <col min="1" max="1" width="36.90625" customWidth="1"/>
    <col min="2" max="2" width="19.6328125" customWidth="1"/>
    <col min="3" max="3" width="16.1796875" customWidth="1"/>
    <col min="4" max="4" width="17.36328125" customWidth="1"/>
    <col min="5" max="5" width="14.6328125" customWidth="1"/>
    <col min="6" max="6" width="16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5">
      <c r="A2" t="s">
        <v>6</v>
      </c>
      <c r="B2">
        <v>2.0630000000000002</v>
      </c>
      <c r="C2">
        <v>-0.44</v>
      </c>
      <c r="D2">
        <v>0.38200000000000001</v>
      </c>
      <c r="E2">
        <v>-4.91</v>
      </c>
      <c r="F2">
        <v>-5.35</v>
      </c>
    </row>
    <row r="3" spans="1:8" x14ac:dyDescent="0.35">
      <c r="A3" t="s">
        <v>7</v>
      </c>
      <c r="B3">
        <v>1.6879999999999999</v>
      </c>
      <c r="C3">
        <v>-1.0389999999999999</v>
      </c>
      <c r="D3">
        <v>0.41199999999999998</v>
      </c>
      <c r="E3">
        <v>-6.83</v>
      </c>
      <c r="F3">
        <v>-7.68</v>
      </c>
    </row>
    <row r="4" spans="1:8" x14ac:dyDescent="0.35">
      <c r="A4" t="s">
        <v>8</v>
      </c>
      <c r="B4">
        <v>2.0699999999999998</v>
      </c>
      <c r="C4">
        <v>-0.13600000000000001</v>
      </c>
      <c r="D4">
        <v>0.26200000000000001</v>
      </c>
      <c r="E4">
        <v>-4.6100000000000003</v>
      </c>
      <c r="F4">
        <v>-4.99</v>
      </c>
    </row>
    <row r="5" spans="1:8" x14ac:dyDescent="0.35">
      <c r="A5" t="s">
        <v>9</v>
      </c>
      <c r="B5">
        <v>1.92</v>
      </c>
      <c r="C5">
        <v>-0.55000000000000004</v>
      </c>
      <c r="D5">
        <v>0.33100000000000002</v>
      </c>
      <c r="E5">
        <v>-4.97</v>
      </c>
      <c r="F5">
        <v>-5.42</v>
      </c>
    </row>
    <row r="6" spans="1:8" x14ac:dyDescent="0.35">
      <c r="A6" t="s">
        <v>10</v>
      </c>
      <c r="B6">
        <v>2.5430000000000001</v>
      </c>
      <c r="C6">
        <v>-0.58399999999999996</v>
      </c>
      <c r="D6">
        <v>0.13200000000000001</v>
      </c>
      <c r="E6">
        <v>-2.13</v>
      </c>
      <c r="F6">
        <v>-1.98</v>
      </c>
    </row>
    <row r="7" spans="1:8" x14ac:dyDescent="0.35">
      <c r="A7" t="s">
        <v>11</v>
      </c>
      <c r="B7">
        <v>3.1720000000000002</v>
      </c>
      <c r="C7">
        <v>0.82</v>
      </c>
      <c r="D7">
        <v>0.83</v>
      </c>
      <c r="E7">
        <v>-6.13</v>
      </c>
      <c r="F7">
        <v>-6.82</v>
      </c>
    </row>
    <row r="8" spans="1:8" x14ac:dyDescent="0.35">
      <c r="A8" t="s">
        <v>12</v>
      </c>
      <c r="B8">
        <v>3.0430000000000001</v>
      </c>
      <c r="C8">
        <v>-0.377</v>
      </c>
      <c r="D8">
        <v>-0.38200000000000001</v>
      </c>
      <c r="E8">
        <v>-1.7</v>
      </c>
      <c r="F8">
        <v>-1.46</v>
      </c>
    </row>
    <row r="9" spans="1:8" x14ac:dyDescent="0.35">
      <c r="A9" t="s">
        <v>13</v>
      </c>
      <c r="B9">
        <v>1.8660000000000001</v>
      </c>
      <c r="C9">
        <v>-0.42199999999999999</v>
      </c>
      <c r="D9">
        <v>0.40400000000000003</v>
      </c>
      <c r="E9">
        <v>-4.13</v>
      </c>
      <c r="F9">
        <v>-4.4000000000000004</v>
      </c>
    </row>
    <row r="10" spans="1:8" x14ac:dyDescent="0.35">
      <c r="A10" t="s">
        <v>14</v>
      </c>
      <c r="B10">
        <v>1.9219999999999999</v>
      </c>
      <c r="C10">
        <v>-0.56399999999999995</v>
      </c>
      <c r="D10">
        <v>0.36699999999999999</v>
      </c>
      <c r="E10">
        <v>-4.97</v>
      </c>
      <c r="F10">
        <v>-5.42</v>
      </c>
    </row>
    <row r="11" spans="1:8" x14ac:dyDescent="0.35">
      <c r="A11" t="s">
        <v>15</v>
      </c>
      <c r="B11">
        <v>2.6419999999999999</v>
      </c>
      <c r="C11">
        <v>-0.87</v>
      </c>
      <c r="D11">
        <v>1.2999999999999999E-2</v>
      </c>
      <c r="E11">
        <v>-0.69</v>
      </c>
      <c r="F11">
        <v>-0.24</v>
      </c>
    </row>
    <row r="13" spans="1:8" ht="15" thickBot="1" x14ac:dyDescent="0.4"/>
    <row r="14" spans="1:8" ht="16" thickBot="1" x14ac:dyDescent="0.4">
      <c r="A14" t="s">
        <v>0</v>
      </c>
      <c r="B14" t="s">
        <v>4</v>
      </c>
      <c r="C14" t="s">
        <v>16</v>
      </c>
      <c r="D14" s="4" t="s">
        <v>17</v>
      </c>
      <c r="E14" s="4" t="s">
        <v>18</v>
      </c>
    </row>
    <row r="15" spans="1:8" ht="15.5" x14ac:dyDescent="0.35">
      <c r="A15" t="s">
        <v>6</v>
      </c>
      <c r="B15">
        <v>-4.91</v>
      </c>
      <c r="C15" s="1">
        <v>-4.68</v>
      </c>
      <c r="D15">
        <f>ABS(C15-B15)</f>
        <v>0.23000000000000043</v>
      </c>
      <c r="E15" s="5">
        <f>D15*D15</f>
        <v>5.2900000000000197E-2</v>
      </c>
      <c r="G15" s="6">
        <v>0.28999999999999998</v>
      </c>
      <c r="H15" s="5">
        <f xml:space="preserve"> G15 * G15</f>
        <v>8.4099999999999994E-2</v>
      </c>
    </row>
    <row r="16" spans="1:8" ht="15.5" x14ac:dyDescent="0.35">
      <c r="A16" t="s">
        <v>7</v>
      </c>
      <c r="B16">
        <v>-6.83</v>
      </c>
      <c r="C16" s="2">
        <v>-9.77</v>
      </c>
      <c r="D16">
        <f>ABS(C16-B16)</f>
        <v>2.9399999999999995</v>
      </c>
      <c r="E16" s="5">
        <f t="shared" ref="E16:E24" si="0">D16*D16</f>
        <v>8.6435999999999975</v>
      </c>
      <c r="G16" s="7">
        <v>0.75</v>
      </c>
      <c r="H16" s="5">
        <f t="shared" ref="H16:H24" si="1" xml:space="preserve"> G16 * G16</f>
        <v>0.5625</v>
      </c>
    </row>
    <row r="17" spans="1:8" ht="15.5" x14ac:dyDescent="0.35">
      <c r="A17" t="s">
        <v>8</v>
      </c>
      <c r="B17">
        <v>-4.6100000000000003</v>
      </c>
      <c r="C17" s="2">
        <v>-4.1100000000000003</v>
      </c>
      <c r="D17" s="5">
        <f t="shared" ref="D17:D24" si="2">ABS(C17-B17)</f>
        <v>0.5</v>
      </c>
      <c r="E17" s="5">
        <f t="shared" si="0"/>
        <v>0.25</v>
      </c>
      <c r="G17" s="7">
        <v>0.37</v>
      </c>
      <c r="H17" s="5">
        <f t="shared" si="1"/>
        <v>0.13689999999999999</v>
      </c>
    </row>
    <row r="18" spans="1:8" ht="15.5" x14ac:dyDescent="0.35">
      <c r="A18" t="s">
        <v>9</v>
      </c>
      <c r="B18">
        <v>-4.97</v>
      </c>
      <c r="C18" s="2">
        <v>-5.13</v>
      </c>
      <c r="D18">
        <f t="shared" si="2"/>
        <v>0.16000000000000014</v>
      </c>
      <c r="E18" s="5">
        <f t="shared" si="0"/>
        <v>2.5600000000000046E-2</v>
      </c>
      <c r="G18" s="7">
        <v>0.55000000000000004</v>
      </c>
      <c r="H18" s="5">
        <f t="shared" si="1"/>
        <v>0.30250000000000005</v>
      </c>
    </row>
    <row r="19" spans="1:8" ht="15.5" x14ac:dyDescent="0.35">
      <c r="A19" t="s">
        <v>10</v>
      </c>
      <c r="B19">
        <v>-2.13</v>
      </c>
      <c r="C19" s="2">
        <v>-1.55</v>
      </c>
      <c r="D19">
        <f t="shared" si="2"/>
        <v>0.57999999999999985</v>
      </c>
      <c r="E19" s="5">
        <f t="shared" si="0"/>
        <v>0.33639999999999981</v>
      </c>
      <c r="G19" s="7">
        <v>1.02</v>
      </c>
      <c r="H19" s="5">
        <f t="shared" si="1"/>
        <v>1.0404</v>
      </c>
    </row>
    <row r="20" spans="1:8" ht="15.5" x14ac:dyDescent="0.35">
      <c r="A20" t="s">
        <v>11</v>
      </c>
      <c r="B20">
        <v>-6.13</v>
      </c>
      <c r="C20" s="2">
        <v>-1.81</v>
      </c>
      <c r="D20">
        <f t="shared" si="2"/>
        <v>4.32</v>
      </c>
      <c r="E20" s="5">
        <f t="shared" si="0"/>
        <v>18.662400000000002</v>
      </c>
      <c r="G20" s="7">
        <v>3.68</v>
      </c>
      <c r="H20" s="5">
        <f t="shared" si="1"/>
        <v>13.542400000000001</v>
      </c>
    </row>
    <row r="21" spans="1:8" ht="15.5" x14ac:dyDescent="0.35">
      <c r="A21" t="s">
        <v>12</v>
      </c>
      <c r="B21">
        <v>-1.7</v>
      </c>
      <c r="C21" s="2">
        <v>-1.96</v>
      </c>
      <c r="D21">
        <f t="shared" si="2"/>
        <v>0.26</v>
      </c>
      <c r="E21" s="5">
        <f t="shared" si="0"/>
        <v>6.7600000000000007E-2</v>
      </c>
      <c r="G21" s="7">
        <v>1.91</v>
      </c>
      <c r="H21" s="5">
        <f t="shared" si="1"/>
        <v>3.6480999999999999</v>
      </c>
    </row>
    <row r="22" spans="1:8" ht="15.5" x14ac:dyDescent="0.35">
      <c r="A22" t="s">
        <v>13</v>
      </c>
      <c r="B22">
        <v>-4.13</v>
      </c>
      <c r="C22" s="2">
        <v>-7.2</v>
      </c>
      <c r="D22">
        <f t="shared" si="2"/>
        <v>3.0700000000000003</v>
      </c>
      <c r="E22" s="5">
        <f t="shared" si="0"/>
        <v>9.4249000000000009</v>
      </c>
      <c r="G22" s="7">
        <v>0.67</v>
      </c>
      <c r="H22" s="5">
        <f t="shared" si="1"/>
        <v>0.44890000000000008</v>
      </c>
    </row>
    <row r="23" spans="1:8" ht="15.5" x14ac:dyDescent="0.35">
      <c r="A23" t="s">
        <v>14</v>
      </c>
      <c r="B23">
        <v>-4.97</v>
      </c>
      <c r="C23" s="2">
        <v>-5.08</v>
      </c>
      <c r="D23">
        <f t="shared" si="2"/>
        <v>0.11000000000000032</v>
      </c>
      <c r="E23" s="5">
        <f t="shared" si="0"/>
        <v>1.2100000000000071E-2</v>
      </c>
      <c r="G23" s="7">
        <v>0.74</v>
      </c>
      <c r="H23" s="5">
        <f t="shared" si="1"/>
        <v>0.54759999999999998</v>
      </c>
    </row>
    <row r="24" spans="1:8" ht="16" thickBot="1" x14ac:dyDescent="0.4">
      <c r="A24" t="s">
        <v>15</v>
      </c>
      <c r="B24">
        <v>-0.69</v>
      </c>
      <c r="C24" s="3">
        <v>-1.05</v>
      </c>
      <c r="D24">
        <f t="shared" si="2"/>
        <v>0.3600000000000001</v>
      </c>
      <c r="E24" s="5">
        <f t="shared" si="0"/>
        <v>0.12960000000000008</v>
      </c>
      <c r="G24" s="8">
        <v>0.84</v>
      </c>
      <c r="H24" s="5">
        <f t="shared" si="1"/>
        <v>0.70559999999999989</v>
      </c>
    </row>
    <row r="26" spans="1:8" x14ac:dyDescent="0.35">
      <c r="C26" s="9" t="s">
        <v>19</v>
      </c>
      <c r="D26" s="5">
        <f xml:space="preserve"> AVERAGE(D15:D24)</f>
        <v>1.2530000000000001</v>
      </c>
    </row>
    <row r="27" spans="1:8" x14ac:dyDescent="0.35">
      <c r="C27" s="9" t="s">
        <v>20</v>
      </c>
      <c r="D27" s="5">
        <f>AVERAGE(E15:E24)</f>
        <v>3.76051</v>
      </c>
    </row>
    <row r="28" spans="1:8" x14ac:dyDescent="0.35">
      <c r="B28" s="9"/>
      <c r="C28" s="9" t="s">
        <v>21</v>
      </c>
      <c r="D28" s="5">
        <f>SQRT(D27)</f>
        <v>1.9392034447164124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Caio Firme</cp:lastModifiedBy>
  <dcterms:created xsi:type="dcterms:W3CDTF">2025-03-16T19:37:17Z</dcterms:created>
  <dcterms:modified xsi:type="dcterms:W3CDTF">2025-03-16T22:14:00Z</dcterms:modified>
  <cp:category/>
</cp:coreProperties>
</file>