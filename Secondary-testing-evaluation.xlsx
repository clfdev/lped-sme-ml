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lhos 2020\ML-LPED\Versão-2.9-padrao\"/>
    </mc:Choice>
  </mc:AlternateContent>
  <xr:revisionPtr revIDLastSave="0" documentId="8_{7937CB6B-BA63-49C3-8D2C-331DA390213B}" xr6:coauthVersionLast="47" xr6:coauthVersionMax="47" xr10:uidLastSave="{00000000-0000-0000-0000-000000000000}"/>
  <bookViews>
    <workbookView xWindow="-110" yWindow="-110" windowWidth="19420" windowHeight="10300" xr2:uid="{5EEFB6E1-4192-446B-94AE-24CD45156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29" i="1"/>
  <c r="B28" i="1"/>
  <c r="E19" i="1"/>
  <c r="E20" i="1"/>
  <c r="E21" i="1"/>
  <c r="E22" i="1"/>
  <c r="E23" i="1"/>
  <c r="E24" i="1"/>
  <c r="E25" i="1"/>
  <c r="E26" i="1"/>
  <c r="E18" i="1"/>
  <c r="E17" i="1"/>
  <c r="D18" i="1"/>
  <c r="D19" i="1"/>
  <c r="D20" i="1"/>
  <c r="D21" i="1"/>
  <c r="D22" i="1"/>
  <c r="D23" i="1"/>
  <c r="D24" i="1"/>
  <c r="D25" i="1"/>
  <c r="D26" i="1"/>
  <c r="D17" i="1"/>
</calcChain>
</file>

<file path=xl/sharedStrings.xml><?xml version="1.0" encoding="utf-8"?>
<sst xmlns="http://schemas.openxmlformats.org/spreadsheetml/2006/main" count="33" uniqueCount="22">
  <si>
    <t>Complex</t>
  </si>
  <si>
    <t>Actual-LPED</t>
  </si>
  <si>
    <t>SME from actual LPED</t>
  </si>
  <si>
    <t>Predicted-LPED</t>
  </si>
  <si>
    <t>SME from predicted LPED</t>
  </si>
  <si>
    <t>N-H (propanenitrile-water)</t>
  </si>
  <si>
    <t>O-H (methylammonium-water)</t>
  </si>
  <si>
    <t>O(a)-H (methyl acetate-water)</t>
  </si>
  <si>
    <t>O(b)-H (methyl acetate-water)</t>
  </si>
  <si>
    <t>O(b)-H (methyl acetate-dimer) (avg)</t>
  </si>
  <si>
    <t>C(b)-C(b) (methyl acetate-dimer)</t>
  </si>
  <si>
    <t>O(a)-O(a) (methyl acetate-dimer)</t>
  </si>
  <si>
    <t>O-H (diethyl ether - water)</t>
  </si>
  <si>
    <t>O-H (2-pentanone-water)</t>
  </si>
  <si>
    <t>O-HC (2-pentanone-water)</t>
  </si>
  <si>
    <t>Predicted_LPED</t>
  </si>
  <si>
    <t>Actual_LPED</t>
  </si>
  <si>
    <t>Abs_diff</t>
  </si>
  <si>
    <t>Sqr_diff</t>
  </si>
  <si>
    <t>MAE</t>
  </si>
  <si>
    <t>MSE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</si>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</sst>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EEF4-3401-4E7C-B0F8-8DCE7D23C961}">
  <dimension ref="A1:E30"/>
  <sheetViews>
    <sheetView tabSelected="1" topLeftCell="A16" workbookViewId="0">
      <selection activeCell="C30" sqref="C30"/>
    </sheetView>
  </sheetViews>
  <sheetFormatPr defaultRowHeight="14.5" x14ac:dyDescent="0.35"/>
  <cols>
    <col min="1" max="1" width="34.54296875" customWidth="1"/>
    <col min="2" max="2" width="17.08984375" customWidth="1"/>
    <col min="3" max="3" width="25" customWidth="1"/>
    <col min="4" max="4" width="28.54296875" customWidth="1"/>
    <col min="5" max="5" width="22.54296875" customWidth="1"/>
  </cols>
  <sheetData>
    <row r="1" spans="1:5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s="2">
        <v>-4.68</v>
      </c>
      <c r="D2">
        <v>-4</v>
      </c>
      <c r="E2">
        <v>-4.24</v>
      </c>
    </row>
    <row r="3" spans="1:5" x14ac:dyDescent="0.35">
      <c r="A3" t="s">
        <v>6</v>
      </c>
      <c r="B3" s="3">
        <v>-9.77</v>
      </c>
      <c r="D3">
        <v>-7.74</v>
      </c>
      <c r="E3">
        <v>-8.7799999999999994</v>
      </c>
    </row>
    <row r="4" spans="1:5" x14ac:dyDescent="0.35">
      <c r="A4" t="s">
        <v>7</v>
      </c>
      <c r="B4" s="3">
        <v>-4.1100000000000003</v>
      </c>
      <c r="D4">
        <v>-3.94</v>
      </c>
      <c r="E4">
        <v>-4.17</v>
      </c>
    </row>
    <row r="5" spans="1:5" x14ac:dyDescent="0.35">
      <c r="A5" t="s">
        <v>8</v>
      </c>
      <c r="B5" s="3">
        <v>-5.13</v>
      </c>
      <c r="D5">
        <v>-5.1100000000000003</v>
      </c>
      <c r="E5">
        <v>-5.59</v>
      </c>
    </row>
    <row r="6" spans="1:5" x14ac:dyDescent="0.35">
      <c r="A6" t="s">
        <v>9</v>
      </c>
      <c r="B6" s="3">
        <v>-1.55</v>
      </c>
      <c r="D6">
        <v>-2.5299999999999998</v>
      </c>
      <c r="E6">
        <v>-2.46</v>
      </c>
    </row>
    <row r="7" spans="1:5" x14ac:dyDescent="0.35">
      <c r="A7" t="s">
        <v>10</v>
      </c>
      <c r="B7" s="3">
        <v>-1.81</v>
      </c>
      <c r="D7">
        <v>-5.48</v>
      </c>
      <c r="E7">
        <v>-6.04</v>
      </c>
    </row>
    <row r="8" spans="1:5" x14ac:dyDescent="0.35">
      <c r="A8" t="s">
        <v>11</v>
      </c>
      <c r="B8" s="3">
        <v>-1.96</v>
      </c>
      <c r="D8">
        <v>-2.2799999999999998</v>
      </c>
      <c r="E8">
        <v>-2.16</v>
      </c>
    </row>
    <row r="9" spans="1:5" x14ac:dyDescent="0.35">
      <c r="A9" t="s">
        <v>12</v>
      </c>
      <c r="B9" s="3">
        <v>-7.2</v>
      </c>
      <c r="D9">
        <v>-6.01</v>
      </c>
      <c r="E9">
        <v>-6.68</v>
      </c>
    </row>
    <row r="10" spans="1:5" x14ac:dyDescent="0.35">
      <c r="A10" t="s">
        <v>13</v>
      </c>
      <c r="B10" s="3">
        <v>-5.08</v>
      </c>
      <c r="D10">
        <v>-5.07</v>
      </c>
      <c r="E10">
        <v>-5.54</v>
      </c>
    </row>
    <row r="11" spans="1:5" ht="15" thickBot="1" x14ac:dyDescent="0.4">
      <c r="A11" t="s">
        <v>14</v>
      </c>
      <c r="B11" s="4">
        <v>-1.05</v>
      </c>
      <c r="D11">
        <v>-1.2</v>
      </c>
      <c r="E11">
        <v>-0.86</v>
      </c>
    </row>
    <row r="15" spans="1:5" ht="15" thickBot="1" x14ac:dyDescent="0.4"/>
    <row r="16" spans="1:5" ht="16" thickBot="1" x14ac:dyDescent="0.4">
      <c r="A16" s="1" t="s">
        <v>0</v>
      </c>
      <c r="B16" s="5" t="s">
        <v>15</v>
      </c>
      <c r="C16" s="6" t="s">
        <v>16</v>
      </c>
      <c r="D16" s="6" t="s">
        <v>17</v>
      </c>
      <c r="E16" s="6" t="s">
        <v>18</v>
      </c>
    </row>
    <row r="17" spans="1:5" x14ac:dyDescent="0.35">
      <c r="A17" t="s">
        <v>5</v>
      </c>
      <c r="B17">
        <v>-4</v>
      </c>
      <c r="C17" s="2">
        <v>-4.68</v>
      </c>
      <c r="D17">
        <f>ABS(C17-B17)</f>
        <v>0.67999999999999972</v>
      </c>
      <c r="E17" s="7">
        <f>(D17)*(D17)</f>
        <v>0.46239999999999959</v>
      </c>
    </row>
    <row r="18" spans="1:5" x14ac:dyDescent="0.35">
      <c r="A18" t="s">
        <v>6</v>
      </c>
      <c r="B18">
        <v>-7.74</v>
      </c>
      <c r="C18" s="3">
        <v>-9.77</v>
      </c>
      <c r="D18">
        <f t="shared" ref="D18:D26" si="0">ABS(C18-B18)</f>
        <v>2.0299999999999994</v>
      </c>
      <c r="E18" s="7">
        <f>(D18)*(D18)</f>
        <v>4.1208999999999971</v>
      </c>
    </row>
    <row r="19" spans="1:5" x14ac:dyDescent="0.35">
      <c r="A19" t="s">
        <v>7</v>
      </c>
      <c r="B19">
        <v>-3.94</v>
      </c>
      <c r="C19" s="3">
        <v>-4.1100000000000003</v>
      </c>
      <c r="D19">
        <f t="shared" si="0"/>
        <v>0.17000000000000037</v>
      </c>
      <c r="E19" s="7">
        <f t="shared" ref="E19:E26" si="1">(D19)*(D19)</f>
        <v>2.8900000000000127E-2</v>
      </c>
    </row>
    <row r="20" spans="1:5" x14ac:dyDescent="0.35">
      <c r="A20" t="s">
        <v>8</v>
      </c>
      <c r="B20">
        <v>-5.1100000000000003</v>
      </c>
      <c r="C20" s="3">
        <v>-5.13</v>
      </c>
      <c r="D20">
        <f t="shared" si="0"/>
        <v>1.9999999999999574E-2</v>
      </c>
      <c r="E20" s="7">
        <f t="shared" si="1"/>
        <v>3.9999999999998294E-4</v>
      </c>
    </row>
    <row r="21" spans="1:5" x14ac:dyDescent="0.35">
      <c r="A21" t="s">
        <v>9</v>
      </c>
      <c r="B21">
        <v>-2.5299999999999998</v>
      </c>
      <c r="C21" s="3">
        <v>-1.55</v>
      </c>
      <c r="D21">
        <f t="shared" si="0"/>
        <v>0.97999999999999976</v>
      </c>
      <c r="E21" s="7">
        <f t="shared" si="1"/>
        <v>0.96039999999999948</v>
      </c>
    </row>
    <row r="22" spans="1:5" x14ac:dyDescent="0.35">
      <c r="A22" t="s">
        <v>10</v>
      </c>
      <c r="B22">
        <v>-5.48</v>
      </c>
      <c r="C22" s="3">
        <v>-1.81</v>
      </c>
      <c r="D22">
        <f t="shared" si="0"/>
        <v>3.6700000000000004</v>
      </c>
      <c r="E22" s="7">
        <f t="shared" si="1"/>
        <v>13.468900000000003</v>
      </c>
    </row>
    <row r="23" spans="1:5" x14ac:dyDescent="0.35">
      <c r="A23" t="s">
        <v>11</v>
      </c>
      <c r="B23">
        <v>-2.2799999999999998</v>
      </c>
      <c r="C23" s="3">
        <v>-1.96</v>
      </c>
      <c r="D23">
        <f t="shared" si="0"/>
        <v>0.31999999999999984</v>
      </c>
      <c r="E23" s="7">
        <f t="shared" si="1"/>
        <v>0.10239999999999989</v>
      </c>
    </row>
    <row r="24" spans="1:5" x14ac:dyDescent="0.35">
      <c r="A24" t="s">
        <v>12</v>
      </c>
      <c r="B24">
        <v>-6.01</v>
      </c>
      <c r="C24" s="3">
        <v>-7.2</v>
      </c>
      <c r="D24">
        <f t="shared" si="0"/>
        <v>1.1900000000000004</v>
      </c>
      <c r="E24" s="7">
        <f t="shared" si="1"/>
        <v>1.416100000000001</v>
      </c>
    </row>
    <row r="25" spans="1:5" x14ac:dyDescent="0.35">
      <c r="A25" t="s">
        <v>13</v>
      </c>
      <c r="B25">
        <v>-5.07</v>
      </c>
      <c r="C25" s="3">
        <v>-5.08</v>
      </c>
      <c r="D25">
        <f t="shared" si="0"/>
        <v>9.9999999999997868E-3</v>
      </c>
      <c r="E25" s="7">
        <f t="shared" si="1"/>
        <v>9.9999999999995736E-5</v>
      </c>
    </row>
    <row r="26" spans="1:5" ht="15" thickBot="1" x14ac:dyDescent="0.4">
      <c r="A26" t="s">
        <v>14</v>
      </c>
      <c r="B26">
        <v>-1.2</v>
      </c>
      <c r="C26" s="4">
        <v>-1.05</v>
      </c>
      <c r="D26">
        <f t="shared" si="0"/>
        <v>0.14999999999999991</v>
      </c>
      <c r="E26" s="7">
        <f t="shared" si="1"/>
        <v>2.2499999999999975E-2</v>
      </c>
    </row>
    <row r="28" spans="1:5" x14ac:dyDescent="0.35">
      <c r="A28" t="s">
        <v>19</v>
      </c>
      <c r="B28" s="7">
        <f>AVERAGE(D17:D26)</f>
        <v>0.92199999999999993</v>
      </c>
    </row>
    <row r="29" spans="1:5" x14ac:dyDescent="0.35">
      <c r="A29" t="s">
        <v>20</v>
      </c>
      <c r="B29" s="7">
        <f>AVERAGE(E17:E26)</f>
        <v>2.0583</v>
      </c>
    </row>
    <row r="30" spans="1:5" x14ac:dyDescent="0.35">
      <c r="A30" t="s">
        <v>21</v>
      </c>
      <c r="B30" s="7">
        <f>SQRT(B29)</f>
        <v>1.4346776641462011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Firme</dc:creator>
  <cp:lastModifiedBy>Caio Firme</cp:lastModifiedBy>
  <dcterms:created xsi:type="dcterms:W3CDTF">2025-03-16T10:36:01Z</dcterms:created>
  <dcterms:modified xsi:type="dcterms:W3CDTF">2025-03-18T12:10:54Z</dcterms:modified>
</cp:coreProperties>
</file>